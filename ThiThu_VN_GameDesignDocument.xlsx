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quangnd512/Desktop/claude/quiz_dh/"/>
    </mc:Choice>
  </mc:AlternateContent>
  <xr:revisionPtr revIDLastSave="0" documentId="13_ncr:1_{A552429D-920D-1044-9795-91889B89AF96}" xr6:coauthVersionLast="47" xr6:coauthVersionMax="47" xr10:uidLastSave="{00000000-0000-0000-0000-000000000000}"/>
  <bookViews>
    <workbookView xWindow="0" yWindow="600" windowWidth="28800" windowHeight="16220" activeTab="9" xr2:uid="{00000000-000D-0000-FFFF-FFFF00000000}"/>
  </bookViews>
  <sheets>
    <sheet name="Tong quan" sheetId="1" r:id="rId1"/>
    <sheet name="Cong nghe" sheetId="2" r:id="rId2"/>
    <sheet name="Stakeholders" sheetId="3" r:id="rId3"/>
    <sheet name="Giai doan 1 MVP" sheetId="4" r:id="rId4"/>
    <sheet name="Giai doan 2 Scale" sheetId="5" r:id="rId5"/>
    <sheet name="Giai doan 3 Ecosystem" sheetId="6" r:id="rId6"/>
    <sheet name="Kiem tien" sheetId="7" r:id="rId7"/>
    <sheet name="Go to Market" sheetId="8" r:id="rId8"/>
    <sheet name="Game Design" sheetId="9" r:id="rId9"/>
    <sheet name="Prompts AI" sheetId="10" r:id="rId10"/>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8" i="7" l="1"/>
  <c r="G17" i="7"/>
  <c r="D16" i="7"/>
  <c r="E18" i="7"/>
  <c r="C17" i="7"/>
  <c r="E16" i="7"/>
  <c r="B18" i="7"/>
  <c r="G16" i="7"/>
  <c r="C18" i="7"/>
  <c r="B16" i="7"/>
  <c r="E17" i="7"/>
  <c r="G18" i="7"/>
  <c r="E19" i="7"/>
  <c r="G19" i="7"/>
  <c r="D18" i="7"/>
  <c r="B17" i="7"/>
  <c r="D17" i="7"/>
  <c r="F16" i="7"/>
  <c r="B19" i="7"/>
  <c r="F19" i="7"/>
  <c r="F21" i="7"/>
  <c r="D19" i="7"/>
  <c r="F17" i="7"/>
  <c r="E21" i="7"/>
  <c r="C16" i="7"/>
  <c r="C19" i="7"/>
  <c r="G21" i="7"/>
  <c r="B21" i="7"/>
  <c r="D21" i="7"/>
  <c r="C21" i="7"/>
</calcChain>
</file>

<file path=xl/sharedStrings.xml><?xml version="1.0" encoding="utf-8"?>
<sst xmlns="http://schemas.openxmlformats.org/spreadsheetml/2006/main" count="955" uniqueCount="687">
  <si>
    <t>PROMPT MẪU – HỎI AI CHO TỪNG TÍNH NĂNG &amp; GIAI ĐOẠN</t>
  </si>
  <si>
    <t>MASTER CONTEXT PROMPT – Dán vào đầu MỖI cuộc hội thoại mới</t>
  </si>
  <si>
    <t>Tên Prompt</t>
  </si>
  <si>
    <t>Nội dung (copy nguyên)</t>
  </si>
  <si>
    <t>Khi nào dùng</t>
  </si>
  <si>
    <t>Master Context (bắt buộc dán trước)</t>
  </si>
  <si>
    <t>Tôi đang phát triển ThiThứ VN – game ôn thi THPT Quốc gia cho HS lớp 12 Việt Nam.
TECH STACK: React 18 + Vite (FE), Node.js + Express (BE), PostgreSQL + Redis (DB), Socket.io (real-time), Prisma ORM, Firebase Auth, Google AdMob, VNPay/MoMo.
3 CHẾ ĐỘ:
1. ÔN TẬP: 15 câu dễ→khó/15 phút. +1 điểm/câu đúng. Giải thích sau mỗi câu.
2. THI THỬ: Đề chuẩn BGD. Cần 60 điểm vào thi (trừ atomic). &lt;7→+±0 | 7-7.9→+20 | 8-8.9→+50 | 9-9.9→+80 | 10→+120.
3. THI ĐẤU PvP: 20 câu/15 phút real-time. Cược điểm. Điều kiện: môn trùng + đủ cược. Winner takes all. Atomic.
HỆ THỐNG ĐIỂM: Điểm tích lũy là currency duy nhất. Không âm. Atomic transactions bắt buộc. Có transaction log.
GIAI ĐOẠN: [ĐIỀN VÀO]
TASK HIỆN TẠI: [ĐIỀN VÀO]
Yêu cầu: TypeScript, comment tiếng Việt, error handling đầy đủ.</t>
  </si>
  <si>
    <t>Dán vào đầu MỌI cuộc hội thoại mới với AI</t>
  </si>
  <si>
    <t>GIAI ĐOẠN 1 – Prompts code tính năng</t>
  </si>
  <si>
    <t>Done</t>
  </si>
  <si>
    <t>Hệ thống điểm (code trước tiên!)</t>
  </si>
  <si>
    <t>[DÁN MASTER CONTEXT]
TASK: Xây dựng PointsService với Prisma transactions.
Prisma schema cần:
- user_points: id, userId, currentPoints(default 0), version(optimistic lock), lastUpdated
- point_transactions: id, userId, delta, reason, metadata(Json), createdAt
PointsService cần methods:
- addPoints(userId, amount, reason, metadata?): atomic, không âm
- deductPoints(userId, amount, reason): throw PointsInsufficientError nếu thiếu
- transferPoints(fromId, toId, amount, reason): atomic check + transfer
- getBalance(userId): current points
- getHistory(userId, limit, offset): transaction log có pagination
Dùng Prisma $transaction. Optimistic locking với version field để tránh race condition.</t>
  </si>
  <si>
    <t>Code TRƯỚC KHI làm bất kỳ chế độ nào</t>
  </si>
  <si>
    <t>Auth + Onboarding</t>
  </si>
  <si>
    <t>[DÁN MASTER CONTEXT]
TASK: Auth + Onboarding.
1. Middleware verifyFirebaseToken: verify Firebase ID token, attach user vào req
2. POST /api/auth/login: nhận Firebase token, tạo/lấy user trong PostgreSQL, trả JWT
3. Prisma schema users: id, firebaseUid, displayName, email, phone, school, province, createdAt, subjects(String[])
4. POST /api/users/subjects: lưu môn học [{id: "TOAN", name: "Toán"}], validate ≥1 môn ≤7 môn
5. GET /api/users/me: profile + điểm tích lũy hiện tại
Trả về: Prisma schema + middleware + 3 endpoints + error types đầy đủ.</t>
  </si>
  <si>
    <t>Sprint 1 – Tuần 1-2</t>
  </si>
  <si>
    <t>Module Ôn tập – API</t>
  </si>
  <si>
    <t>[DÁN MASTER CONTEXT]
TASK: API Module Ôn tập.
1. Prisma schema questions: id, subject, chapter, difficulty(1-3), question, options(Json[4]), correctAnswer(0-3), explanation, examYear, examCode, isActive
2. Prisma schema practice_sessions: id, userId, subjectId, questions(Json), userAnswers(Json), score, pointsEarned, startedAt, completedAt
3. GET /api/practice/start?subject=TOAN: kéo 5 câu độ khó 1 + 5 câu độ khó 2 + 5 câu độ khó 3, loại câu đã làm trong 24h của user này
4. POST /api/practice/complete: {sessionId, answers: [{questionId, selectedOption}]}, chấm điểm, gọi PointsService.addPoints trong cùng transaction với lưu session
Quan trọng: điểm PHẢI cộng trong cùng Prisma $transaction với save session.</t>
  </si>
  <si>
    <t>Sprint 2 – Tuần 3</t>
  </si>
  <si>
    <t>Báo cáo câu hỏi sai</t>
  </si>
  <si>
    <t>[DÁN MASTER CONTEXT]
GIAI ĐOẠN: 1 – Data Quality
TASK: Tính năng báo cáo câu hỏi sai/lỗi.
1. Prisma schema question_reports: id, questionId, userId, reason(WRONG_ANSWER|BAD_CONTENT|TYPO|OTHER), description?, status(PENDING|REVIEWED|FIXED|DISMISSED), createdAt
2. POST /api/practice/questions/:id/report: {reason, description?} – giới hạn 1 report/user/câu để tránh spam. Validate: user phải đã làm câu đó (có trong practice_sessions) mới được báo cáo.
3. GET /api/admin/questions/reports: danh sách báo cáo, filter theo status/questionId, pagination
4. PATCH /api/admin/questions/reports/:id: {status} – Admin đánh dấu đã xử lý
5. Auto-hide: khi 1 câu có ≥5 báo cáo PENDING → tự động set isActive=false + ghi log
6. GET /api/admin/questions/reports/summary → {pending, reviewed, fixed} dùng cho dashboard Admin
TypeScript, comment tiếng Việt, error handling đầy đủ.</t>
  </si>
  <si>
    <t>Sprint 3 GD1 – sau khi có câu hỏi thật + user thật</t>
  </si>
  <si>
    <t>Module Thi thử – API</t>
  </si>
  <si>
    <t>[DÁN MASTER CONTEXT]
TASK: API Module Thi thử.
Exam structure config (JSON trong code hoặc DB):
- TOAN: 50 câu, 90 phút, phân bố theo chương
- ANH: 50 câu, 60 phút
- LY/HOA/SINH/SU/DIA: 40 câu, 50 phút
1. POST /api/exam/start: check ≥60đ → PointsService.deductPoints(60) → tạo exam_session → trả đề (câu hỏi ẩn đáp án)
2. Server lưu: userId, subjectId, questions[], startedAt, duration, status='IN_PROGRESS'
3. POST /api/exam/submit: validate thời gian (startedAt + duration + 30s buffer) → chấm điểm → tính net points theo bảng → PointsService.addPoints atomic → trả kết quả
4. GET /api/exam/:id/result: kết quả + phân tích theo chương + câu sai có explanation
Nếu submit sau hết giờ: trả lỗi ExamExpiredError, không chấm điểm.</t>
  </si>
  <si>
    <t>Sprint 3 – Tuần 5-6</t>
  </si>
  <si>
    <t>Thi đấu PvP – Socket.io</t>
  </si>
  <si>
    <t>[DÁN MASTER CONTEXT]
TASK: Real-time Thi đấu với Socket.io.
Room schema trong Redis (TTL 30 phút): {roomId, hostId, guestId?, subjects[], betPoints, status, questions[], startedAt, timer}
Socket events:
- create_room({subjects, betPoints}): validate betPoints ≤ 50% tích lũy, lock điểm, tạo room, emit room_created
- join_room({roomId}): validate môn trùng + đủ cược, lock điểm, emit room_ready cho cả 2
- ready_start: cả 2 emit → server countdown 3s → emit game_start với questions[]
- submit_answer({questionId, selectedOption, timestamp}): validate timestamp trong giờ
- game_end (auto sau 15'): so câu đúng → tie-break bằng thời gian → emit result → PointsService.transferPoints atomic
- disconnect: setTimeout 60s → nếu không reconnect → emit opponent_disconnected → xử thua → transferPoints
Anti-cheat: reject answer sau game_end, validate timestamp server-side.</t>
  </si>
  <si>
    <t>Sprint 4 – Tuần 9-10</t>
  </si>
  <si>
    <t>GIAI ĐOẠN 2 – Prompts mở rộng</t>
  </si>
  <si>
    <t>React Native setup</t>
  </si>
  <si>
    <t>[DÁN MASTER CONTEXT]
GIAI ĐOẠN: 2 – Mobile App
TASK: Setup React Native Expo.
1. Expo project structure với TypeScript
2. React Navigation 6: Tab navigator (Trang chủ / Ôn tập / Thi thử / Thi đấu / Profile)
3. Expo Notifications: setup FCM, permission request, notification handler
4. API client dùng lại từ web: tạo shared hooks (useAuth, usePractice, useExam, useArena)
5. AsyncStorage: cache 15 câu ôn tập cho offline mode
6. Expo SecureStore: lưu auth token
7. Một màn hình hoàn chỉnh: PracticeScreen adapt từ web component
Bắt đầu với project structure + navigation + PracticeScreen.</t>
  </si>
  <si>
    <t>Sprint đầu GD2</t>
  </si>
  <si>
    <t>Redis Leaderboard</t>
  </si>
  <si>
    <t>[DÁN MASTER CONTEXT]
GIAI ĐOẠN: 2 – BXH theo trường
TASK: Leaderboard với Redis Sorted Sets.
1. Khi điểm user thay đổi: ZADD leaderboard:national userId newPoints, ZADD leaderboard:province:{provinceId} userId newPoints, ZADD leaderboard:school:{schoolId} userId newPoints
2. GET /api/leaderboard/national: ZREVRANGE + ZREVRANK → top 100 + vị trí user
3. GET /api/leaderboard/school/:id và GET /api/leaderboard/province/:id
4. GET /api/leaderboard/me: vị trí trong cả 3 bảng
5. Invalidation: gọi updateLeaderboard(userId, newPoints) trong PointsService sau mỗi thay đổi điểm
Dùng ioredis. Handle edge case: user chưa có trường (không vào BXH trường).</t>
  </si>
  <si>
    <t>Redis Cache Câu hỏi (Performance)</t>
  </si>
  <si>
    <t>[DÁN MASTER CONTEXT]
GIAI ĐOẠN: 2 – Performance Optimization
TASK: Redis cache layer cho ngân hàng câu hỏi.
1. Cache pool câu hỏi theo key "questions:{subject}:{difficulty}" trong Redis, TTL = 5 phút (300s)
2. GET /api/practice/start: kiểm tra Redis trước (Cache-Aside pattern) → nếu miss mới query PostgreSQL, sau đó SET cache
3. Cache invalidation: khi Admin thêm/sửa/xóa câu hỏi → DEL key "questions:{subject}:*" để buộc fetch lại
4. Config qua env: CACHE_TTL_QUESTIONS=300, ENABLE_QUESTION_CACHE=true/false (dễ tắt khi debug)
5. Logging: log cache HIT/MISS để đo hit rate, alert khi hit rate &lt; 50%
6. Không thay đổi Prisma schema, Redis chỉ là cache layer trong tầng service
Dùng ioredis (đã có trong tech stack). TypeScript, comment tiếng Việt, error handling đầy đủ.</t>
  </si>
  <si>
    <t>Sprint 2 GD2 – sau khi đo được traffic thực để confirm cần cache</t>
  </si>
  <si>
    <t>DEBUG &amp; CODE REVIEW</t>
  </si>
  <si>
    <t>Code Review</t>
  </si>
  <si>
    <t>[DÁN MASTER CONTEXT]
TASK: Review code sau:
[PASTE CODE VÀO ĐÂY]
Kiểm tra:
1. Atomic transaction? (điểm không được cộng/trừ ngoài $transaction)
2. Race condition? (đặc biệt điểm cược thi đấu)
3. Error handling đầy đủ không?
4. SQL injection? Input validation?
5. N+1 query? Index cần thiết?
6. TypeScript: có 'any' type không?
7. Edge cases: điểm âm, user không tồn tại, disconnect giữa chừng?
Format: [VẤN ĐỀ] → [VỊ TRÍ CODE] → [GỢI Ý SỬA CỤ THỂ]
Sau đó tạo ra log kiểm tra và cập nhật mỗi khi kiểm tra</t>
  </si>
  <si>
    <t>Sau khi viết xong mỗi feature</t>
  </si>
  <si>
    <t>Debug Bug</t>
  </si>
  <si>
    <t>[DÁN MASTER CONTEXT]
TASK: Debug bug.
BUG: [Mô tả xảy ra khi nào, làm gì thì bug]
ERROR: [paste error message / stack trace]
CODE: [paste code liên quan]
ĐÃ THỬ: [những gì đã thử]
MÔI TRƯỜNG: [dev/prod, Node version, OS]
Phân tích nguyên nhân gốc rễ và đưa ra fix cụ thể.</t>
  </si>
  <si>
    <t>Khi gặp bug không tìm được nguyên nhân</t>
  </si>
  <si>
    <t>Viết Unit Tests</t>
  </si>
  <si>
    <t>[DÁN MASTER CONTEXT]
TASK: Viết tests cho:
TÍNH NĂNG: [Tên tính năng]
CODE: [Paste code cần test]
Yêu cầu tests:
1. Unit tests PointsService: test edge cases (điểm âm, concurrent, đúng amount)
2. API integration tests với supertest + jest
3. Socket.io tests cho Thi đấu: disconnect handling, tie-breaking, timing validation
Dùng Jest + ts-jest. Mock Prisma với jest-mock-extended. Mock Redis với ioredis-mock.</t>
  </si>
  <si>
    <t>Sau khi code xong feature, trước khi merge</t>
  </si>
  <si>
    <t>Viết Tài liệu</t>
  </si>
  <si>
    <t xml:space="preserve">
Viết tài liệu và luồng chạy chi tiết cho chức năng vừa tạo sau đó cập nhật vào doccument đã tạo
</t>
  </si>
  <si>
    <t>THITHỨ VN – GAME ÔN THI THPT QUỐC GIA – GAME DESIGN DOCUMENT</t>
  </si>
  <si>
    <t>Platform ôn thi kết hợp game | Học sinh lớp 12 Việt Nam | 3 chế độ: Ôn tập · Thi thử · Thi đấu PvP</t>
  </si>
  <si>
    <t>MÔ TẢ SẢN PHẨM</t>
  </si>
  <si>
    <t>ThiThứ là game ôn thi THPT Quốc gia thuần Việt. Học sinh chọn môn học từ đầu và toàn bộ câu hỏi xoay quanh các môn đó. Câu hỏi lấy từ đề thi chính thức 2018–nay. 3 chế độ: Ôn tập (15 câu/15 phút/ngày), Thi thử (đề chuẩn BGD, cần 60 điểm tích lũy), Thi đấu PvP real-time (20 câu/15 phút, cược điểm).</t>
  </si>
  <si>
    <t>Chỉ số</t>
  </si>
  <si>
    <t>Giai đoạn 1 (T1–T4)</t>
  </si>
  <si>
    <t>Giai đoạn 2 (T5–T9)</t>
  </si>
  <si>
    <t>Giai đoạn 3 (T10+)</t>
  </si>
  <si>
    <t>DAU/ngày</t>
  </si>
  <si>
    <t>10.000</t>
  </si>
  <si>
    <t>100.000</t>
  </si>
  <si>
    <t>500.000+</t>
  </si>
  <si>
    <t>Doanh thu/tháng</t>
  </si>
  <si>
    <t>8–11 triệu đ</t>
  </si>
  <si>
    <t>80–150 triệu đ</t>
  </si>
  <si>
    <t>500 triệu đ+</t>
  </si>
  <si>
    <t>Số câu hỏi DB</t>
  </si>
  <si>
    <t>1.500 (3 môn)</t>
  </si>
  <si>
    <t>5.000 (7 môn)</t>
  </si>
  <si>
    <t>10.000+</t>
  </si>
  <si>
    <t>Team</t>
  </si>
  <si>
    <t>1 người + AI</t>
  </si>
  <si>
    <t>1–3 người</t>
  </si>
  <si>
    <t>5–10 người</t>
  </si>
  <si>
    <t>Revenue model</t>
  </si>
  <si>
    <t>Ads + Premium 29K</t>
  </si>
  <si>
    <t>+ Battle Pass + B2B</t>
  </si>
  <si>
    <t>+ SaaS + Marketplace</t>
  </si>
  <si>
    <t>CÁC SHEET TRONG FILE</t>
  </si>
  <si>
    <t>Sheet</t>
  </si>
  <si>
    <t>Nội dung</t>
  </si>
  <si>
    <t>Tong quan</t>
  </si>
  <si>
    <t>Mô tả sản phẩm, KPIs, mục lục tổng hợp</t>
  </si>
  <si>
    <t>Cong nghe</t>
  </si>
  <si>
    <t>Tech stack chi tiết cho từng giai đoạn</t>
  </si>
  <si>
    <t>Stakeholders</t>
  </si>
  <si>
    <t>Người dùng, vai trò, yêu cầu từng đối tượng</t>
  </si>
  <si>
    <t>Giai doan 1 MVP</t>
  </si>
  <si>
    <t>Tính năng chi tiết GD1, DoD, lộ trình code</t>
  </si>
  <si>
    <t>Giai doan 2 Scale</t>
  </si>
  <si>
    <t>Tính năng mở rộng GD2, yêu cầu ra mắt</t>
  </si>
  <si>
    <t>Giai doan 3 Ecosystem</t>
  </si>
  <si>
    <t>B2B, AI, Marketplace, mục tiêu dài hạn</t>
  </si>
  <si>
    <t>Kiem tien</t>
  </si>
  <si>
    <t>Mô hình doanh thu, pricing, mô phỏng tài chính</t>
  </si>
  <si>
    <t>Go to Market</t>
  </si>
  <si>
    <t>Chiến lược ra mắt, kênh marketing, KPIs launch</t>
  </si>
  <si>
    <t>Game Design</t>
  </si>
  <si>
    <t>Luật chơi 3 chế độ, hệ thống điểm chi tiết</t>
  </si>
  <si>
    <t>Prompts AI</t>
  </si>
  <si>
    <t>Prompt mẫu hỏi AI cho từng tính năng và giai đoạn</t>
  </si>
  <si>
    <t>TECH STACK – LỰA CHỌN CÔNG NGHỆ</t>
  </si>
  <si>
    <t>FRONTEND</t>
  </si>
  <si>
    <t>Hạng mục</t>
  </si>
  <si>
    <t>Công nghệ</t>
  </si>
  <si>
    <t>Lý do chọn</t>
  </si>
  <si>
    <t>Giai đoạn</t>
  </si>
  <si>
    <t>Ưu tiên</t>
  </si>
  <si>
    <t>Framework</t>
  </si>
  <si>
    <t>React 18 + Vite</t>
  </si>
  <si>
    <t>Tốc độ build nhanh, ecosystem lớn, dễ tìm tài liệu</t>
  </si>
  <si>
    <t>GD1–3</t>
  </si>
  <si>
    <t>Bắt buộc</t>
  </si>
  <si>
    <t>Mobile GD2</t>
  </si>
  <si>
    <t>React Native (Expo)</t>
  </si>
  <si>
    <t>Dùng lại 70–80% code React web, ra iOS+Android</t>
  </si>
  <si>
    <t>GD2+</t>
  </si>
  <si>
    <t>Kế hoạch</t>
  </si>
  <si>
    <t>Styling</t>
  </si>
  <si>
    <t>Tailwind CSS</t>
  </si>
  <si>
    <t>Utility-first, prototype nhanh, nhất quán UI</t>
  </si>
  <si>
    <t>State</t>
  </si>
  <si>
    <t>Zustand</t>
  </si>
  <si>
    <t>Nhẹ hơn Redux, đủ dùng cho game state</t>
  </si>
  <si>
    <t>Real-time</t>
  </si>
  <si>
    <t>Socket.io-client</t>
  </si>
  <si>
    <t>Sync real-time cho chế độ Thi đấu PvP</t>
  </si>
  <si>
    <t>PWA</t>
  </si>
  <si>
    <t>Vite PWA Plugin</t>
  </si>
  <si>
    <t>Cài lên màn hình điện thoại không cần App Store</t>
  </si>
  <si>
    <t>GD1</t>
  </si>
  <si>
    <t>BACKEND</t>
  </si>
  <si>
    <t>Runtime</t>
  </si>
  <si>
    <t>Node.js 20 LTS</t>
  </si>
  <si>
    <t>Full-stack JS, ecosystem tốt, team nhỏ dùng được</t>
  </si>
  <si>
    <t>Express.js</t>
  </si>
  <si>
    <t>Đơn giản, linh hoạt, nhiều tài liệu và ví dụ</t>
  </si>
  <si>
    <t>GD1–2</t>
  </si>
  <si>
    <t>Socket.io</t>
  </si>
  <si>
    <t>WebSocket cho phòng thi đấu PvP</t>
  </si>
  <si>
    <t>Auth</t>
  </si>
  <si>
    <t>Firebase Auth</t>
  </si>
  <si>
    <t>Google OAuth + OTP SMS, free tier đủ dùng GD1</t>
  </si>
  <si>
    <t>ORM</t>
  </si>
  <si>
    <t>Prisma</t>
  </si>
  <si>
    <t>Type-safe, migration dễ, DX tốt cho solo dev</t>
  </si>
  <si>
    <t>Validation</t>
  </si>
  <si>
    <t>Zod</t>
  </si>
  <si>
    <t>Schema validation an toàn cho tất cả API inputs</t>
  </si>
  <si>
    <t>Khuyến nghị</t>
  </si>
  <si>
    <t>DATABASE &amp; CACHE</t>
  </si>
  <si>
    <t>Primary DB</t>
  </si>
  <si>
    <t>PostgreSQL 16</t>
  </si>
  <si>
    <t>Reliable, ACID compliant, tốt cho game state</t>
  </si>
  <si>
    <t>Cache</t>
  </si>
  <si>
    <t>Redis</t>
  </si>
  <si>
    <t>Timer thi đấu, session, leaderboard real-time</t>
  </si>
  <si>
    <t>File Storage</t>
  </si>
  <si>
    <t>Cloudflare R2</t>
  </si>
  <si>
    <t>S3-compatible, rẻ hơn AWS S3, free 10GB</t>
  </si>
  <si>
    <t>INFRASTRUCTURE</t>
  </si>
  <si>
    <t>Hosting GD1</t>
  </si>
  <si>
    <t>Railway.app</t>
  </si>
  <si>
    <t>$5–20/tháng, auto-deploy từ GitHub, không cần DevOps</t>
  </si>
  <si>
    <t>CDN</t>
  </si>
  <si>
    <t>Cloudflare (free)</t>
  </si>
  <si>
    <t>Cache, DDoS protection, analytics miễn phí</t>
  </si>
  <si>
    <t>CI/CD</t>
  </si>
  <si>
    <t>GitHub Actions</t>
  </si>
  <si>
    <t>Auto test + deploy khi push code lên GitHub</t>
  </si>
  <si>
    <t>Monitoring</t>
  </si>
  <si>
    <t>Better Stack (free)</t>
  </si>
  <si>
    <t>Uptime + log management, alert khi down</t>
  </si>
  <si>
    <t>Analytics</t>
  </si>
  <si>
    <t>Mixpanel (free tier)</t>
  </si>
  <si>
    <t>Funnel tracking, retention analysis, churn</t>
  </si>
  <si>
    <t>Hosting GD2+</t>
  </si>
  <si>
    <t>AWS / GCP</t>
  </si>
  <si>
    <t>Auto-scale khi 100K+ DAU, chuyển từ Railway</t>
  </si>
  <si>
    <t>MONETIZATION &amp; COMM.</t>
  </si>
  <si>
    <t>Quảng cáo</t>
  </si>
  <si>
    <t>Google AdMob</t>
  </si>
  <si>
    <t>Rewarded video + Interstitial, CPM VN ~$1–2</t>
  </si>
  <si>
    <t>Payment VN</t>
  </si>
  <si>
    <t>VNPay + MoMo</t>
  </si>
  <si>
    <t>Học sinh không có thẻ quốc tế, phổ biến nhất VN</t>
  </si>
  <si>
    <t>Payment Intl</t>
  </si>
  <si>
    <t>Stripe</t>
  </si>
  <si>
    <t>In-app purchase iOS/Android khi có app native</t>
  </si>
  <si>
    <t>Push notif</t>
  </si>
  <si>
    <t>Firebase FCM</t>
  </si>
  <si>
    <t>Free, hỗ trợ cả web push + mobile native</t>
  </si>
  <si>
    <t>SMS OTP</t>
  </si>
  <si>
    <t>Twilio / VNPT</t>
  </si>
  <si>
    <t>Đăng nhập bằng số điện thoại Việt Nam</t>
  </si>
  <si>
    <t>AI &amp; CONTENT TOOLS</t>
  </si>
  <si>
    <t>Tạo câu hỏi</t>
  </si>
  <si>
    <t>Claude API / GPT-4</t>
  </si>
  <si>
    <t>Format + giải thích câu hỏi từ đề PDF nhanh hơn 10x</t>
  </si>
  <si>
    <t>AI tạo đề GD3</t>
  </si>
  <si>
    <t>OpenAI API</t>
  </si>
  <si>
    <t>AI tạo đề thi theo chủ đề (tính năng GD3)</t>
  </si>
  <si>
    <t>GD3</t>
  </si>
  <si>
    <t>OCR PDF đề</t>
  </si>
  <si>
    <t>Google Vision API</t>
  </si>
  <si>
    <t>Scan đề thi thành text tự động</t>
  </si>
  <si>
    <t>Tùy chọn</t>
  </si>
  <si>
    <t>NGƯỜI DÙNG &amp; VAI TRÒ TRONG PHẦN MỀM</t>
  </si>
  <si>
    <t>HỌC SINH LỚP 12 – Người dùng chính</t>
  </si>
  <si>
    <t>Loại</t>
  </si>
  <si>
    <t>Mục tiêu</t>
  </si>
  <si>
    <t>Tính năng cần</t>
  </si>
  <si>
    <t>Hành động trong app</t>
  </si>
  <si>
    <t>Yêu cầu quan trọng</t>
  </si>
  <si>
    <t>Học sinh casual</t>
  </si>
  <si>
    <t>Ôn thi nhẹ nhàng hàng ngày</t>
  </si>
  <si>
    <t>Ôn tập + Thi thử</t>
  </si>
  <si>
    <t>Làm bài, xem giải thích, tích điểm</t>
  </si>
  <si>
    <t>Câu hỏi chuẩn đề thật, giải thích dễ hiểu, không áp lực</t>
  </si>
  <si>
    <t>Học sinh competitive</t>
  </si>
  <si>
    <t>Muốn cạnh tranh, leo BXH</t>
  </si>
  <si>
    <t>Thi đấu + Thi thử</t>
  </si>
  <si>
    <t>Tạo phòng, thách bạn, cược điểm</t>
  </si>
  <si>
    <t>Matchmaking công bằng, anti-cheat, leaderboard minh bạch</t>
  </si>
  <si>
    <t>Học sinh dùng hàng ngày</t>
  </si>
  <si>
    <t>Tạo thói quen ôn thi đều đặn</t>
  </si>
  <si>
    <t>Ôn tập (daily habit)</t>
  </si>
  <si>
    <t>Daily challenge, streak, notification</t>
  </si>
  <si>
    <t>Streak không bị reset, notification đúng giờ sáng</t>
  </si>
  <si>
    <t>GIÁO VIÊN &amp; TRUNG TÂM – GD2+</t>
  </si>
  <si>
    <t>Giáo viên phổ thông</t>
  </si>
  <si>
    <t>Theo dõi tiến độ học sinh</t>
  </si>
  <si>
    <t>Dashboard báo cáo (GD2)</t>
  </si>
  <si>
    <t>Xem điểm mạnh/yếu từng em</t>
  </si>
  <si>
    <t>Dữ liệu chính xác, báo cáo dễ đọc</t>
  </si>
  <si>
    <t>Trung tâm luyện thi</t>
  </si>
  <si>
    <t>Quản lý học sinh theo nhóm</t>
  </si>
  <si>
    <t>Gói B2B, group management</t>
  </si>
  <si>
    <t>Assign bài, xem tiến độ nhóm</t>
  </si>
  <si>
    <t>Dữ liệu riêng tư, không lẫn với HS khác</t>
  </si>
  <si>
    <t>NHÀ TRƯỜNG – GD3</t>
  </si>
  <si>
    <t>Admin trường</t>
  </si>
  <si>
    <t>Mua license toàn trường</t>
  </si>
  <si>
    <t>Dashboard trường, báo cáo</t>
  </si>
  <si>
    <t>Xem thống kê theo lớp/toàn trường</t>
  </si>
  <si>
    <t>Dữ liệu bảo mật, xuất file, API tích hợp</t>
  </si>
  <si>
    <t>ĐỘI PHÁT TRIỂN</t>
  </si>
  <si>
    <t>Developer (bạn)</t>
  </si>
  <si>
    <t>Code toàn bộ sản phẩm</t>
  </si>
  <si>
    <t>Tech stack đơn giản, AI hỗ trợ</t>
  </si>
  <si>
    <t>Code, deploy, maintain, update câu hỏi</t>
  </si>
  <si>
    <t>CI/CD tự động, monitoring rõ, debug dễ</t>
  </si>
  <si>
    <t>AI Assistant (Claude)</t>
  </si>
  <si>
    <t>Hỗ trợ code và nội dung</t>
  </si>
  <si>
    <t>Prompt rõ ràng, context đầy đủ</t>
  </si>
  <si>
    <t>Viết code, review, tạo nội dung</t>
  </si>
  <si>
    <t>Context game rõ, task nhỏ cụ thể</t>
  </si>
  <si>
    <t>CTV nội dung</t>
  </si>
  <si>
    <t>Nhập liệu câu hỏi</t>
  </si>
  <si>
    <t>Tool nhập liệu đơn giản</t>
  </si>
  <si>
    <t>Nhập câu hỏi, gắn tag, viết giải thích</t>
  </si>
  <si>
    <t>Giao diện đơn giản, không cần biết code</t>
  </si>
  <si>
    <t>ĐỐI TÁC KINH DOANH</t>
  </si>
  <si>
    <t>Nhà quảng cáo (AdMob)</t>
  </si>
  <si>
    <t>Hiển thị quảng cáo</t>
  </si>
  <si>
    <t>DAU cao, thời gian app dài</t>
  </si>
  <si>
    <t>Tự động qua AdMob SDK</t>
  </si>
  <si>
    <t>Brand safety, đúng đối tượng HS</t>
  </si>
  <si>
    <t>Đối tác trường ĐH GD3</t>
  </si>
  <si>
    <t>Tài trợ học bổng top players</t>
  </si>
  <si>
    <t>Tournament, brand awareness</t>
  </si>
  <si>
    <t>Host tournament, nhận data opt-in</t>
  </si>
  <si>
    <t>PDPA compliant, xin phép rõ ràng</t>
  </si>
  <si>
    <t>GIAI ĐOẠN 1 – MVP | THÁNG 1–4 | MỤC TIÊU 10.000 DAU</t>
  </si>
  <si>
    <t>AUTH &amp; ONBOARDING</t>
  </si>
  <si>
    <t>Tính năng</t>
  </si>
  <si>
    <t>Mô tả chi tiết</t>
  </si>
  <si>
    <t>Stakeholder</t>
  </si>
  <si>
    <t>Sprint</t>
  </si>
  <si>
    <t>Definition of Done</t>
  </si>
  <si>
    <t>Đăng ký / Đăng nhập</t>
  </si>
  <si>
    <t>Google OAuth + OTP số điện thoại. Không bắt buộc nhập chi tiết.</t>
  </si>
  <si>
    <t>Học sinh</t>
  </si>
  <si>
    <t>P0</t>
  </si>
  <si>
    <t>Sprint 1</t>
  </si>
  <si>
    <t>✅ Login Google &lt; 3s
✅ OTP gửi &lt; 10s
✅ Session 30 ngày
✅ Logout OK</t>
  </si>
  <si>
    <t>Chọn môn (Onboarding)</t>
  </si>
  <si>
    <t>Chọn từ 7 môn ngay sau đăng ký. Tối thiểu 1 môn. Đổi được sau.</t>
  </si>
  <si>
    <t>✅ Lưu vào DB
✅ Validate ≥1 môn
✅ Hiển thị đúng trang chủ</t>
  </si>
  <si>
    <t>Profile cơ bản</t>
  </si>
  <si>
    <t>Tên, avatar, trường học, tỉnh thành. Hiện tổng điểm + win/loss.</t>
  </si>
  <si>
    <t>P1</t>
  </si>
  <si>
    <t>Sprint 2</t>
  </si>
  <si>
    <t>✅ Lưu + hiển thị đúng
✅ Validation tên 3–30 ký tự</t>
  </si>
  <si>
    <t>CHẾ ĐỘ ÔN TẬP</t>
  </si>
  <si>
    <t>Chọn môn ôn tập</t>
  </si>
  <si>
    <t>Chỉ hiện môn đã đăng ký. Nút bắt đầu → session 15 câu.</t>
  </si>
  <si>
    <t>✅ Chỉ hiện môn user chọn
✅ Bắt đầu &lt; 1s</t>
  </si>
  <si>
    <t>Session 15 câu (dễ→khó)</t>
  </si>
  <si>
    <t>15 câu chia 5 dễ + 5 TB + 5 khó. Timer 15 phút. 4 đáp án.</t>
  </si>
  <si>
    <t>✅ Đúng thứ tự độ khó
✅ Timer chính xác
✅ Auto-submit khi hết giờ</t>
  </si>
  <si>
    <t>Giải thích đáp án</t>
  </si>
  <si>
    <t>Sau mỗi câu: highlight đúng/sai + giải thích + nguồn đề.</t>
  </si>
  <si>
    <t>✅ Màu sắc rõ ràng
✅ Giải thích đúng câu</t>
  </si>
  <si>
    <t>Cộng điểm tích lũy</t>
  </si>
  <si>
    <t>+1 điểm/câu đúng. Atomic transaction. Animation điểm tăng.</t>
  </si>
  <si>
    <t>✅ Cộng đúng số câu đúng
✅ Atomic (không mất điểm nếu crash)</t>
  </si>
  <si>
    <t>Kết quả Ôn tập</t>
  </si>
  <si>
    <t>X/15 câu đúng, điểm vừa kiếm, tổng tích lũy. Gợi ý thi thử nếu ≥60đ.</t>
  </si>
  <si>
    <t>✅ Tính toán chính xác
✅ CTA rõ ràng</t>
  </si>
  <si>
    <t>CHẾ ĐỘ THI THỬ</t>
  </si>
  <si>
    <t>Kiểm tra điều kiện 60 điểm</t>
  </si>
  <si>
    <t>Block nếu &lt;60đ. Trừ 60đ ATOMIC khi bắt đầu. Thông báo thiếu bao nhiêu.</t>
  </si>
  <si>
    <t>Sprint 3</t>
  </si>
  <si>
    <t>✅ Block &lt; 60đ
✅ Trừ điểm atomic
✅ Thông báo rõ số điểm thiếu</t>
  </si>
  <si>
    <t>Đề thi theo chuẩn BGD</t>
  </si>
  <si>
    <t>Toán 50 câu/90', Anh 50 câu/60', Lý-Hóa-Sinh-Sử-Địa 40 câu/50'.</t>
  </si>
  <si>
    <t>✅ Đúng số câu theo môn
✅ Phân bố câu theo chương</t>
  </si>
  <si>
    <t>Timer thi thử (server-side)</t>
  </si>
  <si>
    <t>Countdown. Cảnh báo còn 10' và 5'. Auto-submit. Không pause.</t>
  </si>
  <si>
    <t>✅ Timer server-side
✅ Auto-submit hết giờ
✅ Không thể pause</t>
  </si>
  <si>
    <t>Chấm điểm + cộng/trừ tích lũy</t>
  </si>
  <si>
    <t>Thang 10. &lt;7→-60 | 7-7.9→±0 | 8-8.9→+20 | 9-9.9→+50 | 10→+120.</t>
  </si>
  <si>
    <t>✅ Logic đúng từng ngưỡng
✅ Transaction atomic</t>
  </si>
  <si>
    <t>Báo cáo phân tích</t>
  </si>
  <si>
    <t>Điểm tổng, % đúng theo chương, câu sai có giải thích.</t>
  </si>
  <si>
    <t>✅ Phân tích theo chương
✅ Xem lại đề được</t>
  </si>
  <si>
    <t>CHẾ ĐỘ THI ĐẤU PvP</t>
  </si>
  <si>
    <t>Tạo phòng thi đấu</t>
  </si>
  <si>
    <t>Chọn môn điều kiện + điểm cược (≤50% tích lũy). Room ID 6 số.</t>
  </si>
  <si>
    <t>Sprint 4</t>
  </si>
  <si>
    <t>✅ Validate cược ≤50% tích lũy
✅ Room ID unique
✅ Link chia sẻ OK</t>
  </si>
  <si>
    <t>Tham gia phòng</t>
  </si>
  <si>
    <t>Kiểm tra môn trùng + đủ điểm cược. Thông báo lý do từ chối.</t>
  </si>
  <si>
    <t>✅ Check môn trùng
✅ Check đủ cược
✅ Thông báo lý do rõ</t>
  </si>
  <si>
    <t>Danh sách phòng công khai</t>
  </si>
  <si>
    <t>List phòng đang chờ, filter theo môn, refresh real-time.</t>
  </si>
  <si>
    <t>✅ Real-time update
✅ Filter theo môn OK</t>
  </si>
  <si>
    <t>Game PvP real-time</t>
  </si>
  <si>
    <t>Countdown 3-2-1, 20 câu/15 phút server-side. Không thấy đáp án đối thủ.</t>
  </si>
  <si>
    <t>✅ Start đồng bộ 2 người
✅ Timer server-side
✅ Disconnect 60s→thua</t>
  </si>
  <si>
    <t>Kết thúc &amp; chuyển điểm</t>
  </si>
  <si>
    <t>So câu đúng → nếu bằng so thời gian → thắng nhận điểm cược x2. Atomic.</t>
  </si>
  <si>
    <t>✅ Logic thắng/thua đúng
✅ Chuyển điểm atomic</t>
  </si>
  <si>
    <t>HỆ THỐNG ĐIỂM &amp; XẾP HẠNG</t>
  </si>
  <si>
    <t>Điểm tích lũy</t>
  </si>
  <si>
    <t>1 số duy nhất. Cộng/trừ theo action. Không âm. Lịch sử giao dịch.</t>
  </si>
  <si>
    <t>✅ Không âm
✅ Real-time
✅ Transaction log</t>
  </si>
  <si>
    <t>Bảng xếp hạng</t>
  </si>
  <si>
    <t>Top 100 toàn quốc + filter tỉnh. Vị trí user luôn hiển thị.</t>
  </si>
  <si>
    <t>✅ Đúng thứ tự
✅ User thấy vị trí mình</t>
  </si>
  <si>
    <t>Push Notification</t>
  </si>
  <si>
    <t>Ôn tập hàng ngày (8h sáng), đủ điểm thi thử, được mời thi đấu.</t>
  </si>
  <si>
    <t>✅ Đúng trigger
✅ Opt-out OK
✅ Deep link đúng màn hình</t>
  </si>
  <si>
    <t>MONETIZATION GD1</t>
  </si>
  <si>
    <t>Rewarded Video Ads</t>
  </si>
  <si>
    <t>Xem video → +5 điểm hoặc hồi lượt. Tối đa 3 lần/ngày. AdMob SDK.</t>
  </si>
  <si>
    <t>✅ AdMob tích hợp OK
✅ Nhận thưởng sau xem đủ
✅ Giới hạn 3/ngày</t>
  </si>
  <si>
    <t>Interstitial Ads</t>
  </si>
  <si>
    <t>Sau kết thúc session. Tối đa 1/3 session. Skip sau 5s.</t>
  </si>
  <si>
    <t>✅ Frequency cap OK
✅ Không hiện trong Premium</t>
  </si>
  <si>
    <t>Premium 29.000đ/tháng</t>
  </si>
  <si>
    <t>Không ads, không giới hạn ôn tập, 1 thi thử free/tháng. VNPay+MoMo.</t>
  </si>
  <si>
    <t>✅ Payment end-to-end OK
✅ Tắt ads ngay khi mua
✅ Auto-renew + cancel OK</t>
  </si>
  <si>
    <t>NỘI DUNG &amp; ADMIN</t>
  </si>
  <si>
    <t>Ngân hàng câu hỏi</t>
  </si>
  <si>
    <t>1.500 câu (3 môn đầu). Tag: môn, chương, độ khó 1-3, năm thi, mã đề, giải thích.</t>
  </si>
  <si>
    <t>Song song S1-4</t>
  </si>
  <si>
    <t>✅ 1.500 câu nhập + kiểm duyệt
✅ Tag đầy đủ
✅ Không câu sai đáp án</t>
  </si>
  <si>
    <t>Admin panel cơ bản</t>
  </si>
  <si>
    <t>CRUD câu hỏi, xem DAU, xem payment history. UI đơn giản.</t>
  </si>
  <si>
    <t>Developer</t>
  </si>
  <si>
    <t>P2</t>
  </si>
  <si>
    <t>✅ CRUD hoạt động
✅ Xem được DAU và payments</t>
  </si>
  <si>
    <t>DEFINITION OF DONE GIAI ĐOẠN 1 – Ra mắt khi đạt ĐỦ</t>
  </si>
  <si>
    <t>✅ 3 chế độ chơi hoạt động ổn định trên web PWA</t>
  </si>
  <si>
    <t>✅ 1.500 câu hỏi đã nhập và kiểm duyệt (3 môn đầu tiên: Toán, Anh, Hóa)</t>
  </si>
  <si>
    <t>✅ Hệ thống điểm tích lũy atomic – không có bug cộng/trừ sai</t>
  </si>
  <si>
    <t>✅ Thi đấu PvP real-time hoạt động với 2 thiết bị thật khác nhau</t>
  </si>
  <si>
    <t>✅ Payment VNPay/MoMo gói Premium 29K thành công end-to-end</t>
  </si>
  <si>
    <t>✅ Rewarded video + Interstitial ads hiển thị đúng vị trí, đúng tần suất</t>
  </si>
  <si>
    <t>✅ PWA cài được lên màn hình iOS + Android không cần App Store</t>
  </si>
  <si>
    <t>✅ Uptime ≥ 99% trong 7 ngày liên tiếp</t>
  </si>
  <si>
    <t>✅ Load time trang chủ &lt; 3 giây trên 4G</t>
  </si>
  <si>
    <t>✅ 50 beta users thật đã chơi ≥ 5 session mà không báo bug nghiêm trọng</t>
  </si>
  <si>
    <t>GIAI ĐOẠN 2 – SCALE | THÁNG 5–9 | MỤC TIÊU 100.000 DAU</t>
  </si>
  <si>
    <t>Mô tả</t>
  </si>
  <si>
    <t>App native iOS &amp; Android</t>
  </si>
  <si>
    <t>React Native Expo. Dùng lại 70-80% code. Push notification native. Offline Ôn tập.</t>
  </si>
  <si>
    <t>✅ App lên App Store + Play Store
✅ Push notification native
✅ Offline 15 câu ôn tập</t>
  </si>
  <si>
    <t>7 môn đầy đủ</t>
  </si>
  <si>
    <t>Bổ sung Lý, Sinh, Sử, Địa, Văn. Mỗi môn 600-800 câu. Tổng 5.000+.</t>
  </si>
  <si>
    <t>Học sinh / CTV</t>
  </si>
  <si>
    <t>✅ 7 môn đủ câu hỏi
✅ Cấu trúc đề thi thử đúng từng môn</t>
  </si>
  <si>
    <t>BXH theo trường</t>
  </si>
  <si>
    <t>User nhập tên trường. Top trường theo tỉnh + toàn quốc. Viral tự nhiên.</t>
  </si>
  <si>
    <t>✅ BXH chính xác
✅ Học sinh share 'Trường mình top X'</t>
  </si>
  <si>
    <t>Study Squad (học nhóm)</t>
  </si>
  <si>
    <t>Nhóm 2-6 người. Cùng làm câu hỏi. Thấy tiến độ đồng đội real-time.</t>
  </si>
  <si>
    <t>✅ Tạo/join nhóm OK
✅ Sync tiến độ real-time</t>
  </si>
  <si>
    <t>Daily Challenge</t>
  </si>
  <si>
    <t>10 câu/ngày, thay đổi chủ đề. Streak. Leaderboard daily. Notification 7h sáng.</t>
  </si>
  <si>
    <t>✅ Reset 0h đúng
✅ Streak không reset nếu làm trước midnight</t>
  </si>
  <si>
    <t>Phân tích điểm yếu</t>
  </si>
  <si>
    <t>Sau 5 session: gợi ý chương yếu. Rule-based. Không cần AI GD2.</t>
  </si>
  <si>
    <t>✅ Phân tích đúng theo chương
✅ Gợi ý câu phù hợp</t>
  </si>
  <si>
    <t>Battle Pass 49K/tháng</t>
  </si>
  <si>
    <t>Cosmetics (avatar, frame). x1.5 XP. Không ảnh hưởng gameplay. Mỗi tháng mới.</t>
  </si>
  <si>
    <t>✅ Không pay-to-win
✅ Cosmetics thẩm mỹ thuần</t>
  </si>
  <si>
    <t>Gói câu hỏi one-time</t>
  </si>
  <si>
    <t>79-149K/môn. 300 câu nâng cao. Trường chuyên. Unlock ngay sau mua.</t>
  </si>
  <si>
    <t>✅ Payment OK
✅ Unlock ngay</t>
  </si>
  <si>
    <t>B2B trường (pilot)</t>
  </si>
  <si>
    <t>500K/GV/năm. Dashboard xem báo cáo lớp. GV tạo bài kiểm tra mini.</t>
  </si>
  <si>
    <t>Giáo viên / Admin</t>
  </si>
  <si>
    <t>✅ Dashboard GV OK
✅ 5 trường pilot ký hợp đồng</t>
  </si>
  <si>
    <t>Analytics nâng cao</t>
  </si>
  <si>
    <t>Mixpanel: D1/D7/D30 retention, funnel, churn prediction cơ bản.</t>
  </si>
  <si>
    <t>✅ Dashboard retention tracking
✅ Alert khi retention &lt; target</t>
  </si>
  <si>
    <t>DEFINITION OF DONE GIAI ĐOẠN 2</t>
  </si>
  <si>
    <t>✅ App trên App Store + Google Play (không bị reject)</t>
  </si>
  <si>
    <t>✅ 7 môn đầy đủ, ≥ 5.000 câu hỏi có giải thích</t>
  </si>
  <si>
    <t>✅ BXH theo trường viral tự nhiên (≥ 1.000 trường đăng ký)</t>
  </si>
  <si>
    <t>✅ Daily Challenge D7 retention ≥ 30%</t>
  </si>
  <si>
    <t>✅ Battle Pass ≥ 1% user mua (không P2W)</t>
  </si>
  <si>
    <t>✅ Pilot B2B ≥ 5 trường / trung tâm ký hợp đồng</t>
  </si>
  <si>
    <t>✅ DAU ≥ 50.000 (milestone giữa kỳ trước khi target 100K)</t>
  </si>
  <si>
    <t>GIAI ĐOẠN 3 – ECOSYSTEM | THÁNG 10+ | PLATFORM GIÁO DỤC</t>
  </si>
  <si>
    <t>AI tạo câu hỏi</t>
  </si>
  <si>
    <t>GV nhập chủ đề → Claude/GPT-4 tạo câu chuẩn THPT. Human review trước khi vào DB. Giảm chi phí nội dung 80%.</t>
  </si>
  <si>
    <t>GV / CTV / Dev</t>
  </si>
  <si>
    <t>Livestream ôn thi</t>
  </si>
  <si>
    <t>GV/streamer host cho 100-1000 HS real-time. Donate hint. Leaderboard live. Tích hợp RTMP.</t>
  </si>
  <si>
    <t>Học sinh / GV</t>
  </si>
  <si>
    <t>SaaS Dashboard trường</t>
  </si>
  <si>
    <t>License/năm. Điểm mạnh/yếu từng HS. So sánh TB quốc gia. Xuất PDF. PDPA compliant.</t>
  </si>
  <si>
    <t>Nhà trường / Admin</t>
  </si>
  <si>
    <t>Marketplace tài liệu</t>
  </si>
  <si>
    <t>GV bán đề thi thử, flashcard. Platform 20% hoa hồng. Thanh toán trong app.</t>
  </si>
  <si>
    <t>GV / Học sinh</t>
  </si>
  <si>
    <t>Mở rộng lớp 10-11</t>
  </si>
  <si>
    <t>Câu hỏi SGK mới 2025. TAM mở rộng 1M → 3M học sinh.</t>
  </si>
  <si>
    <t>Học sinh 10-11</t>
  </si>
  <si>
    <t>Partnership trường ĐH</t>
  </si>
  <si>
    <t>ĐH tài trợ học bổng top players. Tournament. Brand awareness tuyển sinh.</t>
  </si>
  <si>
    <t>Nhà trường / ĐT</t>
  </si>
  <si>
    <t>AI adaptive learning</t>
  </si>
  <si>
    <t>ML phân tích pattern sai. Lộ trình học cá nhân hóa tự động.</t>
  </si>
  <si>
    <t>Học sinh / Dev</t>
  </si>
  <si>
    <t>Analytics B2B nâng cao</t>
  </si>
  <si>
    <t>Dự báo điểm thi thật. Báo cáo so sánh tỉnh. API tích hợp hệ thống trường.</t>
  </si>
  <si>
    <t>MỤC TIÊU KINH DOANH GD3</t>
  </si>
  <si>
    <t>✅ SaaS B2B: 500 trường × 5M đ/năm = 2,5 tỷ đ/năm</t>
  </si>
  <si>
    <t>✅ Marketplace: GMV &gt; 500M đ/tháng (20% = 100M đ/tháng)</t>
  </si>
  <si>
    <t>✅ DAU ≥ 500.000 (lớp 10-11-12 cộng lại)</t>
  </si>
  <si>
    <t>✅ Series A ready: ARR &gt; 5 tỷ đ, D30 retention &gt; 20%</t>
  </si>
  <si>
    <t>MÔ HÌNH DOANH THU &amp; MÔ PHỎNG TÀI CHÍNH</t>
  </si>
  <si>
    <t>Nguồn thu</t>
  </si>
  <si>
    <t>Từ GD</t>
  </si>
  <si>
    <t>Tỷ trọng</t>
  </si>
  <si>
    <t>Cách tính</t>
  </si>
  <si>
    <t>Nguyên tắc quan trọng</t>
  </si>
  <si>
    <t>GD1+</t>
  </si>
  <si>
    <t>~60% GD1</t>
  </si>
  <si>
    <t>DAU × 30% × 3 views × CPM($1.5) / 1000 × 23.000đ</t>
  </si>
  <si>
    <t>Người dùng tự nguyện chọn xem – ít gây khó chịu nhất</t>
  </si>
  <si>
    <t>~15% GD1</t>
  </si>
  <si>
    <t>Sessions × (1/3) × CPM($0.7) / 1000 × 23.000đ</t>
  </si>
  <si>
    <t>Giới hạn 1/3 session, không trong gói Premium</t>
  </si>
  <si>
    <t>Premium 29K/tháng</t>
  </si>
  <si>
    <t>~25% GD1</t>
  </si>
  <si>
    <t>DAU × 2% × 29.000đ</t>
  </si>
  <si>
    <t>Không energy system trong gói này – bài học từ Trivia Crack</t>
  </si>
  <si>
    <t>~20% GD2</t>
  </si>
  <si>
    <t>DAU × 3% × 49.000đ</t>
  </si>
  <si>
    <t>Cosmetics only, không bán lợi thế gameplay</t>
  </si>
  <si>
    <t>Gói câu hỏi 79-149K</t>
  </si>
  <si>
    <t>~15% GD2</t>
  </si>
  <si>
    <t>Active users × 5% × avg 100.000đ</t>
  </si>
  <si>
    <t>One-time purchase, nội dung nâng cao rõ giá trị</t>
  </si>
  <si>
    <t>B2B trường 500K/GV/năm</t>
  </si>
  <si>
    <t>GV × 500.000đ / 12 tháng</t>
  </si>
  <si>
    <t>Kênh acquisition B2B2C – GV kéo cả lớp vào dùng</t>
  </si>
  <si>
    <t>Marketplace 20% hoa hồng</t>
  </si>
  <si>
    <t>GD3+</t>
  </si>
  <si>
    <t>~25% GD3</t>
  </si>
  <si>
    <t>GMV × 20%</t>
  </si>
  <si>
    <t>UGC content tự tăng trưởng</t>
  </si>
  <si>
    <t>MÔ PHỎNG DOANH THU (đơn vị: nghìn đồng VND)</t>
  </si>
  <si>
    <t>Tháng 1</t>
  </si>
  <si>
    <t>Tháng 2</t>
  </si>
  <si>
    <t>Tháng 3</t>
  </si>
  <si>
    <t>Tháng 4</t>
  </si>
  <si>
    <t>Tháng 6</t>
  </si>
  <si>
    <t>Tháng 9</t>
  </si>
  <si>
    <t>DAU (người)</t>
  </si>
  <si>
    <t>Rewarded ads (nghìn đồng)</t>
  </si>
  <si>
    <t>Premium sub (nghìn đồng)</t>
  </si>
  <si>
    <t>Interstitial (nghìn đồng)</t>
  </si>
  <si>
    <t>TỔNG DOANH THU</t>
  </si>
  <si>
    <t>Chi phí vận hành (nghìn đồng)</t>
  </si>
  <si>
    <t>LỢI NHUẬN</t>
  </si>
  <si>
    <t>CHIẾN LƯỢC RA MẮT THỊ TRƯỜNG (GO-TO-MARKET)</t>
  </si>
  <si>
    <t>PRE-LAUNCH (Tháng 3–4 song song code)</t>
  </si>
  <si>
    <t>Hoạt động</t>
  </si>
  <si>
    <t>Timeline</t>
  </si>
  <si>
    <t>Landing page + waitlist</t>
  </si>
  <si>
    <t>Trang mô tả sản phẩm + form đăng ký. Thưởng 50 điểm cho early adopters.</t>
  </si>
  <si>
    <t>Tuần 9</t>
  </si>
  <si>
    <t>Beta testing 50-100 HS</t>
  </si>
  <si>
    <t>Tuyển qua group Facebook/Zalo luyện thi. Dùng miễn phí đổi feedback.</t>
  </si>
  <si>
    <t>Tuần 10-12</t>
  </si>
  <si>
    <t>Xây kênh TikTok/Fanpage</t>
  </si>
  <si>
    <t>Mẹo làm bài, câu hỏi hay, drama thi đấu. Đúng đối tượng quan trọng hơn nhiều follower.</t>
  </si>
  <si>
    <t>Tháng 3+</t>
  </si>
  <si>
    <t>Kết nối group ôn thi</t>
  </si>
  <si>
    <t>Chia sẻ vào 20-30 group Facebook/Zalo lớn về THPT. Đưa giá trị thật, không spam.</t>
  </si>
  <si>
    <t>Tuần 11-12</t>
  </si>
  <si>
    <t>Chuẩn bị câu hỏi viral</t>
  </si>
  <si>
    <t>10 câu khó/thú vị từ đề cũ để đăng mạng, dẫn traffic về app.</t>
  </si>
  <si>
    <t>SOFT LAUNCH (Tuần đầu ra mắt)</t>
  </si>
  <si>
    <t>500 user đầu từ waitlist + beta</t>
  </si>
  <si>
    <t>Theo dõi bug, retention D1, crash rate. Chưa promote rộng.</t>
  </si>
  <si>
    <t>Ngày 1-3</t>
  </si>
  <si>
    <t>Post viral 'Thách đấu' đầu tiên</t>
  </si>
  <si>
    <t>Quay video 2 HS thi đấu thật, reaction. Đăng TikTok + group. Kêu gọi thử.</t>
  </si>
  <si>
    <t>Ngày 3-5</t>
  </si>
  <si>
    <t>Referral: mời bạn → +10 điểm</t>
  </si>
  <si>
    <t>Cả 2 người nhận 10 điểm tích lũy. Viral loop tự nhiên.</t>
  </si>
  <si>
    <t>Ngày 1+</t>
  </si>
  <si>
    <t>PR outreach báo học sinh</t>
  </si>
  <si>
    <t>Gửi press release đến Hoa Học Trò, VnExpress Education, KOL học sinh.</t>
  </si>
  <si>
    <t>Ngày 5-7</t>
  </si>
  <si>
    <t>Hard launch khi ổn định</t>
  </si>
  <si>
    <t>Sau 3 ngày không bug nghiêm trọng: push toàn bộ kênh social.</t>
  </si>
  <si>
    <t>Ngày 7+</t>
  </si>
  <si>
    <t>POST-LAUNCH GROWTH (Tháng 5+)</t>
  </si>
  <si>
    <t>SEO: 'câu hỏi thi THPT môn X'</t>
  </si>
  <si>
    <t>Landing pages từng môn với câu mẫu. Organic traffic bền vững.</t>
  </si>
  <si>
    <t>Liên tục</t>
  </si>
  <si>
    <t>Partnership với giáo viên</t>
  </si>
  <si>
    <t>GV recommend cho lớp → viral trong trường. Thưởng GV premium free.</t>
  </si>
  <si>
    <t>Tháng 5+</t>
  </si>
  <si>
    <t>Tournament mùa thi</t>
  </si>
  <si>
    <t>Tournament quốc gia trước kỳ thi. Top 3 nhận học bổng/phần thưởng.</t>
  </si>
  <si>
    <t>Tháng 5-6</t>
  </si>
  <si>
    <t>Paid acquisition (nếu CAC &lt; LTV)</t>
  </si>
  <si>
    <t>Facebook/TikTok ads HS lớp 12 khi ROI dương. Test nhỏ trước scale.</t>
  </si>
  <si>
    <t>Tháng 6+</t>
  </si>
  <si>
    <t>KPIs THEO DÕI SAU LAUNCH</t>
  </si>
  <si>
    <t>KPI</t>
  </si>
  <si>
    <t>Target</t>
  </si>
  <si>
    <t>Ý nghĩa</t>
  </si>
  <si>
    <t>D1 Retention</t>
  </si>
  <si>
    <t>≥ 40%</t>
  </si>
  <si>
    <t>% quay lại ngày hôm sau</t>
  </si>
  <si>
    <t>D7 Retention</t>
  </si>
  <si>
    <t>≥ 20%</t>
  </si>
  <si>
    <t>% active sau 7 ngày</t>
  </si>
  <si>
    <t>D30 Retention</t>
  </si>
  <si>
    <t>≥ 10%</t>
  </si>
  <si>
    <t>% active sau 30 ngày</t>
  </si>
  <si>
    <t>Sessions/user/ngày</t>
  </si>
  <si>
    <t>≥ 2.5</t>
  </si>
  <si>
    <t>Mức engagement</t>
  </si>
  <si>
    <t>Premium conversion</t>
  </si>
  <si>
    <t>≥ 2%</t>
  </si>
  <si>
    <t>% DAU mua gói 29K</t>
  </si>
  <si>
    <t>Crash rate</t>
  </si>
  <si>
    <t>&lt; 0.5%</t>
  </si>
  <si>
    <t>Ổn định kỹ thuật</t>
  </si>
  <si>
    <t>Load time</t>
  </si>
  <si>
    <t>&lt; 3 giây</t>
  </si>
  <si>
    <t>Trên kết nối 4G</t>
  </si>
  <si>
    <t>NPS Score</t>
  </si>
  <si>
    <t>≥ 40</t>
  </si>
  <si>
    <t>Khảo sát sau 7 ngày</t>
  </si>
  <si>
    <t>GAME DESIGN CHI TIẾT – LUẬT CHƠI &amp; HỆ THỐNG ĐIỂM</t>
  </si>
  <si>
    <t>HỆ THỐNG ĐIỂM TÍCH LŨY – QUY TẮC ĐẦY ĐỦ</t>
  </si>
  <si>
    <t>Hành động</t>
  </si>
  <si>
    <t>Điểm thay đổi</t>
  </si>
  <si>
    <t>Điều kiện</t>
  </si>
  <si>
    <t>Ghi chú quan trọng</t>
  </si>
  <si>
    <t>Ôn tập – câu đúng</t>
  </si>
  <si>
    <t>+1 điểm</t>
  </si>
  <si>
    <t>Không điều kiện</t>
  </si>
  <si>
    <t>Tối đa +15/session. Không giới hạn số session/ngày.</t>
  </si>
  <si>
    <t>Ôn tập – câu sai</t>
  </si>
  <si>
    <t>0 điểm</t>
  </si>
  <si>
    <t>Không trừ</t>
  </si>
  <si>
    <t>Học sinh không bị phạt. Khuyến khích học tiếp.</t>
  </si>
  <si>
    <t>Thi thử – vào thi</t>
  </si>
  <si>
    <t>-60 điểm</t>
  </si>
  <si>
    <t>Cần ≥ 60 điểm tích lũy</t>
  </si>
  <si>
    <t>ATOMIC: trừ ngay khi bấm bắt đầu, không rollback.</t>
  </si>
  <si>
    <t>Thi thử – đạt &lt; 7.0</t>
  </si>
  <si>
    <t>Net: +0 điểm</t>
  </si>
  <si>
    <t>—</t>
  </si>
  <si>
    <t>Mất đúng 60 điểm đã trừ. Hiện phân tích điểm yếu.</t>
  </si>
  <si>
    <t>Thi thử – đạt 7.0–7.9</t>
  </si>
  <si>
    <t>Net: +20 điểm</t>
  </si>
  <si>
    <t>Hoàn lại 60 điểm. Không lãi không lỗ.</t>
  </si>
  <si>
    <t>Thi thử – đạt 8.0–8.9</t>
  </si>
  <si>
    <t>Net: +50 điểm</t>
  </si>
  <si>
    <t>Hoàn 60 + cộng thêm 20 = cộng tổng 80.</t>
  </si>
  <si>
    <t>Thi thử – đạt 9.0–9.9</t>
  </si>
  <si>
    <t>Net: +80 điểm</t>
  </si>
  <si>
    <t>Hoàn 60 + cộng thêm 50 = cộng tổng 110.</t>
  </si>
  <si>
    <t>Thi thử – đạt 10.0</t>
  </si>
  <si>
    <t>Net: +120 điểm</t>
  </si>
  <si>
    <t>Hoàn 60 + cộng thêm 120 = cộng tổng 180.</t>
  </si>
  <si>
    <t>Thi đấu – tạo phòng</t>
  </si>
  <si>
    <t>Lock X điểm</t>
  </si>
  <si>
    <t>X ≤ 50% tích lũy hiện tại</t>
  </si>
  <si>
    <t>Điểm bị lock cho đến khi ván kết thúc.</t>
  </si>
  <si>
    <t>Thi đấu – thắng</t>
  </si>
  <si>
    <t>+X điểm (cược đối thủ)</t>
  </si>
  <si>
    <t>Thắng ván</t>
  </si>
  <si>
    <t>Nhận đúng số điểm đối thủ đã cược.</t>
  </si>
  <si>
    <t>Thi đấu – thua</t>
  </si>
  <si>
    <t>-X điểm (đã cược)</t>
  </si>
  <si>
    <t>Thua ván</t>
  </si>
  <si>
    <t>Mất điểm đã cược. Không có hoàn trả.</t>
  </si>
  <si>
    <t>Thi đấu – disconnect</t>
  </si>
  <si>
    <t>-X điểm (tự động thua)</t>
  </si>
  <si>
    <t>Mất kết nối &gt; 60 giây</t>
  </si>
  <si>
    <t>Anti-abuse: không thể disconnect để thoát ván đang thua.</t>
  </si>
  <si>
    <t>Điểm tối thiểu</t>
  </si>
  <si>
    <t>Sàn = 0, không âm</t>
  </si>
  <si>
    <t>Luôn áp dụng</t>
  </si>
  <si>
    <t>Nếu không đủ điểm cược → không được vào phòng.</t>
  </si>
  <si>
    <t>Rewarded video bonus</t>
  </si>
  <si>
    <t>+5 điểm thưởng</t>
  </si>
  <si>
    <t>Xem đủ 30s, max 3 lần/ngày</t>
  </si>
  <si>
    <t>Ngoài hệ thống chính, không ảnh hưởng xếp hạng.</t>
  </si>
  <si>
    <t>CHẾ ĐỘ ÔN TẬP – LUẬT CHI TIẾT</t>
  </si>
  <si>
    <t>Chọn môn</t>
  </si>
  <si>
    <t>Chỉ hiện môn học sinh đã đăng ký từ đầu. Tối thiểu 1 môn.</t>
  </si>
  <si>
    <t>Cấu trúc câu hỏi</t>
  </si>
  <si>
    <t>15 câu: 5 dễ (độ khó 1) + 5 TB (độ khó 2) + 5 khó (độ khó 3). Sắp xếp theo thứ tự tăng dần.</t>
  </si>
  <si>
    <t>Thời gian</t>
  </si>
  <si>
    <t>15 phút tổng. Hết giờ → auto-submit những câu đã chọn.</t>
  </si>
  <si>
    <t>Định dạng câu hỏi</t>
  </si>
  <si>
    <t>4 đáp án chọn 1. Hiển thị 1 câu/màn hình. Không quay lại câu trước.</t>
  </si>
  <si>
    <t>Sau mỗi câu</t>
  </si>
  <si>
    <t>Hiện ngay: đáp án đúng (xanh), chọn sai (đỏ), giải thích ≤200 từ, nguồn đề (năm thi).</t>
  </si>
  <si>
    <t>Chống lặp câu</t>
  </si>
  <si>
    <t>Trong 24 giờ không hiện lại câu đã làm. Pool ≥100 câu/độ khó/môn.</t>
  </si>
  <si>
    <t>Không giới hạn</t>
  </si>
  <si>
    <t>Không giới hạn số lần ôn tập/ngày. Premium: bonus x1.5 XP (GD2).</t>
  </si>
  <si>
    <t>CHẾ ĐỘ THI THỬ – LUẬT CHI TIẾT</t>
  </si>
  <si>
    <t>Điều kiện vào</t>
  </si>
  <si>
    <t>Cần ≥ 60 điểm tích lũy. Trừ 60 điểm ATOMIC ngay khi bấm bắt đầu.</t>
  </si>
  <si>
    <t>Cấu trúc đề</t>
  </si>
  <si>
    <t>Toán: 50 câu/90'. Tiếng Anh: 50 câu/60'. Lý/Hóa/Sinh/Sử/Địa: 40 câu/50'. Phân bố theo chương chuẩn BGD.</t>
  </si>
  <si>
    <t>Timer</t>
  </si>
  <si>
    <t>Server-side countdown. Cảnh báo còn 10' và 5'. KHÔNG pause. Auto-submit khi hết giờ.</t>
  </si>
  <si>
    <t>Chấm điểm</t>
  </si>
  <si>
    <t>Thang 10. Mỗi câu = 10/số_câu điểm. Làm tròn 1 chữ số thập phân.</t>
  </si>
  <si>
    <t>&lt; 7.0: mất 60 | 7.0-7.9: ±0 | 8.0-8.9: +20 | 9.0-9.9: +50 | 10.0: +120</t>
  </si>
  <si>
    <t>Báo cáo sau thi</t>
  </si>
  <si>
    <t>Điểm tổng, % đúng theo chương, câu sai có giải thích, so sánh với TB.</t>
  </si>
  <si>
    <t>Giới hạn</t>
  </si>
  <si>
    <t>Không giới hạn số lần nếu đủ điểm. Premium GD1: 1 lần/tháng miễn phí (không trừ 60đ).</t>
  </si>
  <si>
    <t>CHẾ ĐỘ THI ĐẤU – LUẬT CHI TIẾT</t>
  </si>
  <si>
    <t>Tạo phòng</t>
  </si>
  <si>
    <t>Chọn ≥1 môn điều kiện (từ môn đã đăng ký). Đặt cược: min 10đ, max 50% điểm tích lũy.</t>
  </si>
  <si>
    <t>Điều kiện tham gia</t>
  </si>
  <si>
    <t>User phải có ≥1 môn trùng với điều kiện phòng VÀ đủ điểm cược. Thông báo lý do từ chối cụ thể.</t>
  </si>
  <si>
    <t>Hiện phòng đang chờ người: tên chủ, môn, điểm cược. Refresh real-time. Filter theo môn.</t>
  </si>
  <si>
    <t>Bắt đầu ván</t>
  </si>
  <si>
    <t>Countdown 3-2-1 đồng bộ 2 người. 20 câu từ môn điều kiện phòng. Random từ pool.</t>
  </si>
  <si>
    <t>Trong ván</t>
  </si>
  <si>
    <t>Mỗi người tự làm độc lập. Thấy tiến độ đối thủ dạng '??/20' (không biết đúng/sai). Timer 15' server-side.</t>
  </si>
  <si>
    <t>Kết quả</t>
  </si>
  <si>
    <t>Ai đúng nhiều câu hơn thắng. Bằng nhau → ai hoàn thành sớm hơn thắng. Tuyệt đối không tie.</t>
  </si>
  <si>
    <t>Chuyển điểm</t>
  </si>
  <si>
    <t>ATOMIC: người thua mất X điểm, người thắng nhận X điểm. Log đầy đủ.</t>
  </si>
  <si>
    <t>Disconnect</t>
  </si>
  <si>
    <t>Mất kết nối &gt; 60 giây = thua. Điểm cược chuyển cho đối thủ. Không cho rejoin ván đang diễn ra.</t>
  </si>
  <si>
    <t>Hủy phòng</t>
  </si>
  <si>
    <t>Chủ phòng hủy nếu chưa có người vào. Tự đóng sau 10 phút không có người tham gia.</t>
  </si>
  <si>
    <t>Cải tiến - Kiếm tiền</t>
  </si>
  <si>
    <t>Xếp hạng</t>
  </si>
  <si>
    <t>Nhiệm vụ hàng ngày</t>
  </si>
  <si>
    <r>
      <t>Mỗi ngày tham gia ôn tập 5 lần
- Tham gia thi thử 1 lần và đạt trên 50%
- Thắng 1 ván thi đấu PvP
- Điểm danh</t>
    </r>
    <r>
      <rPr>
        <sz val="10"/>
        <color rgb="FF333333"/>
        <rFont val="Arial"/>
        <family val="2"/>
      </rPr>
      <t xml:space="preserve">
- Thắng 3 ván thi đấu PvP</t>
    </r>
    <r>
      <rPr>
        <sz val="9"/>
        <color rgb="FF333333"/>
        <rFont val="Arial"/>
        <family val="2"/>
      </rPr>
      <t xml:space="preserve">
Hoàn thành nhiệm vụ sẽ nhận được 5 ngôi sao. Ngôi sao này sẽ được quyền tham gia thi đấu giải đấu sau này. Đây là tính năng thêm</t>
    </r>
  </si>
  <si>
    <t>Có 2 hình thức xếp hạng là xếp hạng điểm tổng và xếp hạng điểm thi đấu</t>
  </si>
  <si>
    <t>Trong phần ôn tập với mỗi câu trả lời sai bị -1 điểm. Nhưng tổng điểm không được âm. Khi điểm về 0 cần xem quảng cáo để nhận 5 điểm và tỉếp tục ôn tập. Không giới hạn ôn tập 1 ngày. Khi thời gian về 0 cần xem quảng cáo để được cộng thêm 10 phút nữa
- Trong phần thi thử nếu không đủ điểm để thi có thể xem quảng cáo để được cộng điểm. Mỗi lần xem được cộng 15 điểm. Giới hạn 1 ngày có 2 lần thi thử. Khi thời gian về 0 cần xem quảng cáo để được cộng thêm 10 phút nữa
- Không có quảng cáo trong thi đấu PvP. Nhưng giới hạn 1 ngày 5 lần thi đấu PvP. Muốn thi đấu tiếp thì xem quảng cáo
- Phần ôn tập thì hiển thị đáp án, phần thi thử thì xem video mới hiển thị đáp án. Còn phần thi đấu thì không hiển thị đáp án ngay mà khi kết thúc mới có thông báo xem quảng cáo để xem chi tiết bài thi cuản mình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</si>
</sst>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6"/>
      <color rgb="FFFFFFFF"/>
      <name val="Arial"/>
      <family val="2"/>
    </font>
    <font>
      <sz val="10"/>
      <color rgb="FF888888"/>
      <name val="Arial"/>
      <family val="2"/>
    </font>
    <font>
      <b/>
      <sz val="12"/>
      <color rgb="FF1E3A5F"/>
      <name val="Arial"/>
      <family val="2"/>
    </font>
    <font>
      <sz val="10"/>
      <color rgb="FF333333"/>
      <name val="Arial"/>
      <family val="2"/>
    </font>
    <font>
      <b/>
      <sz val="10"/>
      <color rgb="FFFFFFFF"/>
      <name val="Arial"/>
      <family val="2"/>
    </font>
    <font>
      <b/>
      <sz val="10"/>
      <color rgb="FF1E3A5F"/>
      <name val="Arial"/>
      <family val="2"/>
    </font>
    <font>
      <b/>
      <sz val="11"/>
      <color rgb="FFFFFFFF"/>
      <name val="Arial"/>
      <family val="2"/>
    </font>
    <font>
      <b/>
      <sz val="9"/>
      <color rgb="FFFFFFFF"/>
      <name val="Arial"/>
      <family val="2"/>
    </font>
    <font>
      <sz val="10"/>
      <color rgb="FF000000"/>
      <name val="Arial"/>
      <family val="2"/>
    </font>
    <font>
      <b/>
      <sz val="14"/>
      <color rgb="FFFFFFFF"/>
      <name val="Arial"/>
      <family val="2"/>
    </font>
    <font>
      <b/>
      <sz val="10"/>
      <color rgb="FF2E6DA4"/>
      <name val="Arial"/>
      <family val="2"/>
    </font>
    <font>
      <b/>
      <sz val="10"/>
      <color rgb="FF1A7A4A"/>
      <name val="Arial"/>
      <family val="2"/>
    </font>
    <font>
      <b/>
      <sz val="10"/>
      <color rgb="FF6B3FA0"/>
      <name val="Arial"/>
      <family val="2"/>
    </font>
    <font>
      <b/>
      <sz val="10"/>
      <color rgb="FFB8600A"/>
      <name val="Arial"/>
      <family val="2"/>
    </font>
    <font>
      <b/>
      <sz val="10"/>
      <color rgb="FF666666"/>
      <name val="Arial"/>
      <family val="2"/>
    </font>
    <font>
      <b/>
      <sz val="9"/>
      <color rgb="FF1E3A5F"/>
      <name val="Arial"/>
      <family val="2"/>
    </font>
    <font>
      <sz val="9"/>
      <color rgb="FF333333"/>
      <name val="Arial"/>
      <family val="2"/>
    </font>
    <font>
      <b/>
      <sz val="9"/>
      <color rgb="FFA93226"/>
      <name val="Arial"/>
      <family val="2"/>
    </font>
    <font>
      <b/>
      <sz val="9"/>
      <color rgb="FFB8600A"/>
      <name val="Arial"/>
      <family val="2"/>
    </font>
    <font>
      <b/>
      <sz val="9"/>
      <color rgb="FF1A7A4A"/>
      <name val="Arial"/>
      <family val="2"/>
    </font>
    <font>
      <b/>
      <sz val="10"/>
      <color rgb="FFA93226"/>
      <name val="Arial"/>
      <family val="2"/>
    </font>
    <font>
      <b/>
      <sz val="10"/>
      <color rgb="FF333333"/>
      <name val="Arial"/>
      <family val="2"/>
    </font>
    <font>
      <sz val="10"/>
      <color rgb="FF666666"/>
      <name val="Arial"/>
      <family val="2"/>
    </font>
    <font>
      <b/>
      <sz val="11"/>
      <color rgb="FF333333"/>
      <name val="Arial"/>
      <family val="2"/>
    </font>
    <font>
      <sz val="10"/>
      <color rgb="FF1E3A5F"/>
      <name val="Arial"/>
      <family val="2"/>
    </font>
    <font>
      <i/>
      <sz val="10"/>
      <color rgb="FF666666"/>
      <name val="Arial"/>
      <family val="2"/>
    </font>
    <font>
      <b/>
      <sz val="10"/>
      <color rgb="FFB8600A"/>
      <name val="Arial"/>
      <family val="2"/>
    </font>
  </fonts>
  <fills count="18">
    <fill>
      <patternFill patternType="none"/>
    </fill>
    <fill>
      <patternFill patternType="gray125"/>
    </fill>
    <fill>
      <patternFill patternType="solid">
        <fgColor rgb="FF1E3A5F"/>
      </patternFill>
    </fill>
    <fill>
      <patternFill patternType="solid">
        <fgColor rgb="FFF5F5F5"/>
      </patternFill>
    </fill>
    <fill>
      <patternFill patternType="solid">
        <fgColor rgb="FFFFFFFF"/>
      </patternFill>
    </fill>
    <fill>
      <patternFill patternType="solid">
        <fgColor rgb="FF404040"/>
      </patternFill>
    </fill>
    <fill>
      <patternFill patternType="solid">
        <fgColor rgb="FFD9E8F5"/>
      </patternFill>
    </fill>
    <fill>
      <patternFill patternType="solid">
        <fgColor rgb="FF2E6DA4"/>
      </patternFill>
    </fill>
    <fill>
      <patternFill patternType="solid">
        <fgColor rgb="FF1A7A4A"/>
      </patternFill>
    </fill>
    <fill>
      <patternFill patternType="solid">
        <fgColor rgb="FF6B3FA0"/>
      </patternFill>
    </fill>
    <fill>
      <patternFill patternType="solid">
        <fgColor rgb="FFB8600A"/>
      </patternFill>
    </fill>
    <fill>
      <patternFill patternType="solid">
        <fgColor rgb="FFA93226"/>
      </patternFill>
    </fill>
    <fill>
      <patternFill patternType="solid">
        <fgColor rgb="FF666666"/>
      </patternFill>
    </fill>
    <fill>
      <patternFill patternType="solid">
        <fgColor rgb="FFD6F0E3"/>
      </patternFill>
    </fill>
    <fill>
      <patternFill patternType="solid">
        <fgColor rgb="FFEDE7F6"/>
      </patternFill>
    </fill>
    <fill>
      <patternFill patternType="solid">
        <fgColor rgb="FFFFF3CD"/>
      </patternFill>
    </fill>
    <fill>
      <patternFill patternType="solid">
        <fgColor rgb="FFC5A028"/>
      </patternFill>
    </fill>
    <fill>
      <patternFill patternType="solid">
        <fgColor rgb="FFFFFF00"/>
        <bgColor indexed="64"/>
      </patternFill>
    </fill>
  </fills>
  <borders count="2">
    <border>
      <left/>
      <right/>
      <top/>
      <bottom/>
      <diagonal/>
    </border>
    <border>
      <left/>
      <right/>
      <top/>
      <bottom style="thin">
        <color rgb="FFDDDDDD"/>
      </bottom>
      <diagonal/>
    </border>
  </borders>
  <cellStyleXfs count="1">
    <xf numFmtId="0" fontId="0" fillId="0" borderId="0"/>
  </cellStyleXfs>
  <cellXfs count="104">
    <xf numFmtId="0" fontId="0" fillId="0" borderId="0" xfId="0"/>
    <xf numFmtId="0" fontId="5" fillId="2" borderId="0" xfId="0" applyFont="1" applyFill="1" applyAlignment="1">
      <alignment horizontal="center" vertical="center"/>
    </xf>
    <xf numFmtId="0" fontId="6" fillId="3" borderId="1" xfId="0" applyFont="1" applyFill="1" applyBorder="1" applyAlignment="1">
      <alignment horizontal="left" vertical="center"/>
    </xf>
    <xf numFmtId="0" fontId="4" fillId="3" borderId="1" xfId="0" applyFont="1" applyFill="1" applyBorder="1" applyAlignment="1">
      <alignment horizontal="center" vertical="center"/>
    </xf>
    <xf numFmtId="0" fontId="6" fillId="4" borderId="1" xfId="0" applyFont="1" applyFill="1" applyBorder="1" applyAlignment="1">
      <alignment horizontal="left" vertical="center"/>
    </xf>
    <xf numFmtId="0" fontId="4" fillId="4" borderId="1" xfId="0" applyFont="1" applyFill="1" applyBorder="1" applyAlignment="1">
      <alignment horizontal="center" vertical="center"/>
    </xf>
    <xf numFmtId="0" fontId="8" fillId="5" borderId="0" xfId="0" applyFont="1" applyFill="1" applyAlignment="1">
      <alignment horizontal="center" vertical="center"/>
    </xf>
    <xf numFmtId="0" fontId="6" fillId="6" borderId="1" xfId="0" applyFont="1" applyFill="1" applyBorder="1" applyAlignment="1">
      <alignment horizontal="left" vertical="center"/>
    </xf>
    <xf numFmtId="0" fontId="11" fillId="3" borderId="1" xfId="0" applyFont="1" applyFill="1" applyBorder="1" applyAlignment="1">
      <alignment horizontal="left" vertical="center"/>
    </xf>
    <xf numFmtId="0" fontId="9" fillId="3" borderId="1" xfId="0" applyFont="1" applyFill="1" applyBorder="1" applyAlignment="1">
      <alignment horizontal="left" vertical="center" wrapText="1"/>
    </xf>
    <xf numFmtId="0" fontId="9"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11" fillId="4" borderId="1" xfId="0" applyFont="1" applyFill="1" applyBorder="1" applyAlignment="1">
      <alignment horizontal="left" vertical="center"/>
    </xf>
    <xf numFmtId="0" fontId="9" fillId="4" borderId="1" xfId="0" applyFont="1" applyFill="1" applyBorder="1" applyAlignment="1">
      <alignment horizontal="left" vertical="center" wrapText="1"/>
    </xf>
    <xf numFmtId="0" fontId="9" fillId="4" borderId="1" xfId="0" applyFont="1" applyFill="1" applyBorder="1" applyAlignment="1">
      <alignment horizontal="center" vertical="center"/>
    </xf>
    <xf numFmtId="0" fontId="13" fillId="4" borderId="1" xfId="0" applyFont="1" applyFill="1" applyBorder="1" applyAlignment="1">
      <alignment horizontal="center" vertical="center"/>
    </xf>
    <xf numFmtId="0" fontId="12" fillId="4" borderId="1" xfId="0" applyFont="1" applyFill="1" applyBorder="1" applyAlignment="1">
      <alignment horizontal="center" vertical="center"/>
    </xf>
    <xf numFmtId="0" fontId="14" fillId="4" borderId="1" xfId="0" applyFont="1" applyFill="1" applyBorder="1" applyAlignment="1">
      <alignment horizontal="center" vertical="center"/>
    </xf>
    <xf numFmtId="0" fontId="14" fillId="3" borderId="1" xfId="0" applyFont="1" applyFill="1" applyBorder="1" applyAlignment="1">
      <alignment horizontal="center" vertical="center"/>
    </xf>
    <xf numFmtId="0" fontId="13" fillId="3" borderId="1" xfId="0" applyFont="1" applyFill="1" applyBorder="1" applyAlignment="1">
      <alignment horizontal="center" vertical="center"/>
    </xf>
    <xf numFmtId="0" fontId="15" fillId="3" borderId="1" xfId="0" applyFont="1" applyFill="1" applyBorder="1" applyAlignment="1">
      <alignment horizontal="center" vertical="center"/>
    </xf>
    <xf numFmtId="0" fontId="6"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3"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17" fillId="4" borderId="1" xfId="0" applyFont="1" applyFill="1" applyBorder="1" applyAlignment="1">
      <alignment horizontal="left" vertical="center" wrapText="1"/>
    </xf>
    <xf numFmtId="0" fontId="18" fillId="4" borderId="1" xfId="0" applyFont="1" applyFill="1" applyBorder="1" applyAlignment="1">
      <alignment horizontal="left" vertical="center" wrapText="1"/>
    </xf>
    <xf numFmtId="0" fontId="19" fillId="3" borderId="1" xfId="0" applyFont="1" applyFill="1" applyBorder="1" applyAlignment="1">
      <alignment horizontal="left" vertical="center" wrapText="1"/>
    </xf>
    <xf numFmtId="0" fontId="19" fillId="4" borderId="1" xfId="0" applyFont="1" applyFill="1" applyBorder="1" applyAlignment="1">
      <alignment horizontal="left" vertical="center" wrapText="1"/>
    </xf>
    <xf numFmtId="0" fontId="20" fillId="4" borderId="1" xfId="0" applyFont="1" applyFill="1" applyBorder="1" applyAlignment="1">
      <alignment horizontal="left" vertical="center" wrapText="1"/>
    </xf>
    <xf numFmtId="0" fontId="5" fillId="8" borderId="0" xfId="0" applyFont="1" applyFill="1" applyAlignment="1">
      <alignment horizontal="center" vertical="center"/>
    </xf>
    <xf numFmtId="0" fontId="6" fillId="13" borderId="1" xfId="0" applyFont="1" applyFill="1" applyBorder="1" applyAlignment="1">
      <alignment horizontal="left" vertical="center" wrapText="1"/>
    </xf>
    <xf numFmtId="0" fontId="4" fillId="13" borderId="1" xfId="0" applyFont="1" applyFill="1" applyBorder="1" applyAlignment="1">
      <alignment horizontal="left" vertical="center" wrapText="1"/>
    </xf>
    <xf numFmtId="0" fontId="21" fillId="13" borderId="1" xfId="0" applyFont="1" applyFill="1" applyBorder="1" applyAlignment="1">
      <alignment horizontal="left" vertical="center" wrapText="1"/>
    </xf>
    <xf numFmtId="0" fontId="21" fillId="4" borderId="1" xfId="0" applyFont="1" applyFill="1" applyBorder="1" applyAlignment="1">
      <alignment horizontal="left" vertical="center" wrapText="1"/>
    </xf>
    <xf numFmtId="0" fontId="14" fillId="4" borderId="1" xfId="0" applyFont="1" applyFill="1" applyBorder="1" applyAlignment="1">
      <alignment horizontal="left" vertical="center" wrapText="1"/>
    </xf>
    <xf numFmtId="0" fontId="14" fillId="13" borderId="1" xfId="0" applyFont="1" applyFill="1" applyBorder="1" applyAlignment="1">
      <alignment horizontal="left" vertical="center" wrapText="1"/>
    </xf>
    <xf numFmtId="0" fontId="5" fillId="9" borderId="0" xfId="0" applyFont="1" applyFill="1" applyAlignment="1">
      <alignment horizontal="center" vertical="center"/>
    </xf>
    <xf numFmtId="0" fontId="13" fillId="14" borderId="1" xfId="0" applyFont="1" applyFill="1" applyBorder="1" applyAlignment="1">
      <alignment horizontal="left" vertical="center" wrapText="1"/>
    </xf>
    <xf numFmtId="0" fontId="4" fillId="14"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5" fillId="10" borderId="0" xfId="0" applyFont="1" applyFill="1" applyAlignment="1">
      <alignment horizontal="center" vertical="center"/>
    </xf>
    <xf numFmtId="0" fontId="14" fillId="15" borderId="1" xfId="0" applyFont="1" applyFill="1" applyBorder="1" applyAlignment="1">
      <alignment horizontal="left" vertical="center" wrapText="1"/>
    </xf>
    <xf numFmtId="0" fontId="4" fillId="15" borderId="1" xfId="0" applyFont="1" applyFill="1" applyBorder="1" applyAlignment="1">
      <alignment horizontal="left" vertical="center" wrapText="1"/>
    </xf>
    <xf numFmtId="0" fontId="4" fillId="3" borderId="1" xfId="0" applyFont="1" applyFill="1" applyBorder="1" applyAlignment="1">
      <alignment horizontal="left" vertical="center"/>
    </xf>
    <xf numFmtId="3" fontId="11" fillId="3" borderId="1" xfId="0" applyNumberFormat="1" applyFont="1" applyFill="1" applyBorder="1" applyAlignment="1">
      <alignment horizontal="right" vertical="center"/>
    </xf>
    <xf numFmtId="0" fontId="4" fillId="4" borderId="1" xfId="0" applyFont="1" applyFill="1" applyBorder="1" applyAlignment="1">
      <alignment horizontal="left" vertical="center"/>
    </xf>
    <xf numFmtId="3" fontId="4" fillId="4" borderId="1" xfId="0" applyNumberFormat="1" applyFont="1" applyFill="1" applyBorder="1" applyAlignment="1">
      <alignment horizontal="right" vertical="center"/>
    </xf>
    <xf numFmtId="3" fontId="4" fillId="3" borderId="1" xfId="0" applyNumberFormat="1" applyFont="1" applyFill="1" applyBorder="1" applyAlignment="1">
      <alignment horizontal="right" vertical="center"/>
    </xf>
    <xf numFmtId="0" fontId="14" fillId="15" borderId="1" xfId="0" applyFont="1" applyFill="1" applyBorder="1" applyAlignment="1">
      <alignment horizontal="left" vertical="center"/>
    </xf>
    <xf numFmtId="3" fontId="22" fillId="15" borderId="1" xfId="0" applyNumberFormat="1" applyFont="1" applyFill="1" applyBorder="1" applyAlignment="1">
      <alignment horizontal="right" vertical="center"/>
    </xf>
    <xf numFmtId="0" fontId="12" fillId="13" borderId="1" xfId="0" applyFont="1" applyFill="1" applyBorder="1" applyAlignment="1">
      <alignment horizontal="left" vertical="center"/>
    </xf>
    <xf numFmtId="3" fontId="12" fillId="13" borderId="1" xfId="0" applyNumberFormat="1" applyFont="1" applyFill="1" applyBorder="1" applyAlignment="1">
      <alignment horizontal="right" vertical="center"/>
    </xf>
    <xf numFmtId="0" fontId="23" fillId="3" borderId="1" xfId="0" applyFont="1" applyFill="1" applyBorder="1" applyAlignment="1">
      <alignment horizontal="center" vertical="center"/>
    </xf>
    <xf numFmtId="0" fontId="23" fillId="4" borderId="1" xfId="0" applyFont="1" applyFill="1" applyBorder="1" applyAlignment="1">
      <alignment horizontal="center" vertical="center"/>
    </xf>
    <xf numFmtId="0" fontId="25" fillId="3" borderId="1"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25" fillId="4" borderId="1" xfId="0" applyFont="1" applyFill="1" applyBorder="1" applyAlignment="1">
      <alignment horizontal="left" vertical="center" wrapText="1"/>
    </xf>
    <xf numFmtId="0" fontId="21"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26" fillId="3" borderId="1" xfId="0" applyFont="1" applyFill="1" applyBorder="1" applyAlignment="1">
      <alignment horizontal="left" vertical="center" wrapText="1"/>
    </xf>
    <xf numFmtId="0" fontId="26" fillId="4" borderId="1" xfId="0" applyFont="1" applyFill="1" applyBorder="1" applyAlignment="1">
      <alignment horizontal="left" vertical="center" wrapText="1"/>
    </xf>
    <xf numFmtId="0" fontId="27" fillId="3" borderId="1" xfId="0" applyFont="1" applyFill="1" applyBorder="1" applyAlignment="1">
      <alignment horizontal="left" vertical="center" wrapText="1"/>
    </xf>
    <xf numFmtId="0" fontId="27" fillId="4" borderId="1" xfId="0" applyFont="1" applyFill="1" applyBorder="1" applyAlignment="1">
      <alignment horizontal="left" vertical="center" wrapText="1"/>
    </xf>
    <xf numFmtId="0" fontId="7" fillId="8" borderId="0" xfId="0" applyFont="1" applyFill="1" applyAlignment="1">
      <alignment horizontal="center" vertical="center"/>
    </xf>
    <xf numFmtId="0" fontId="7" fillId="11" borderId="0" xfId="0" applyFont="1" applyFill="1" applyAlignment="1">
      <alignment horizontal="center" vertical="center"/>
    </xf>
    <xf numFmtId="0" fontId="0" fillId="17" borderId="0" xfId="0" applyFill="1" applyAlignment="1">
      <alignment horizontal="center" vertical="center"/>
    </xf>
    <xf numFmtId="0" fontId="6" fillId="4" borderId="1" xfId="0" applyFont="1" applyFill="1" applyBorder="1" applyAlignment="1">
      <alignment horizontal="left" vertical="center"/>
    </xf>
    <xf numFmtId="0" fontId="17" fillId="4" borderId="1" xfId="0" applyFont="1" applyFill="1" applyBorder="1" applyAlignment="1">
      <alignment horizontal="left" vertical="center" wrapText="1"/>
    </xf>
    <xf numFmtId="0" fontId="26" fillId="4" borderId="1" xfId="0" applyFont="1" applyFill="1" applyBorder="1" applyAlignment="1">
      <alignment horizontal="left" vertical="center" wrapText="1"/>
    </xf>
    <xf numFmtId="0" fontId="10" fillId="2" borderId="0" xfId="0" applyFont="1" applyFill="1" applyAlignment="1">
      <alignment horizontal="center" vertical="center"/>
    </xf>
    <xf numFmtId="0" fontId="0" fillId="0" borderId="0" xfId="0"/>
    <xf numFmtId="0" fontId="0" fillId="17" borderId="0" xfId="0" applyFill="1" applyAlignment="1">
      <alignment horizontal="center" vertical="center"/>
    </xf>
    <xf numFmtId="0" fontId="7" fillId="2" borderId="0" xfId="0" applyFont="1" applyFill="1" applyAlignment="1">
      <alignment horizontal="center" vertical="center"/>
    </xf>
    <xf numFmtId="0" fontId="7" fillId="7" borderId="0" xfId="0" applyFont="1" applyFill="1" applyAlignment="1">
      <alignment horizontal="center" vertical="center"/>
    </xf>
    <xf numFmtId="0" fontId="1" fillId="2" borderId="0" xfId="0" applyFont="1" applyFill="1" applyAlignment="1">
      <alignment horizontal="center" vertical="center"/>
    </xf>
    <xf numFmtId="0" fontId="9" fillId="4" borderId="1" xfId="0" applyFont="1" applyFill="1" applyBorder="1" applyAlignment="1">
      <alignment horizontal="left" vertical="center"/>
    </xf>
    <xf numFmtId="0" fontId="0" fillId="0" borderId="1" xfId="0" applyBorder="1"/>
    <xf numFmtId="0" fontId="9" fillId="6" borderId="1" xfId="0" applyFont="1" applyFill="1" applyBorder="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wrapText="1"/>
    </xf>
    <xf numFmtId="0" fontId="2" fillId="0" borderId="0" xfId="0" applyFont="1" applyAlignment="1">
      <alignment horizontal="center" vertical="center"/>
    </xf>
    <xf numFmtId="0" fontId="7" fillId="11" borderId="0" xfId="0" applyFont="1" applyFill="1" applyAlignment="1">
      <alignment horizontal="center" vertical="center"/>
    </xf>
    <xf numFmtId="0" fontId="7" fillId="10" borderId="0" xfId="0" applyFont="1" applyFill="1" applyAlignment="1">
      <alignment horizontal="center" vertical="center"/>
    </xf>
    <xf numFmtId="0" fontId="7" fillId="8" borderId="0" xfId="0" applyFont="1" applyFill="1" applyAlignment="1">
      <alignment horizontal="center" vertical="center"/>
    </xf>
    <xf numFmtId="0" fontId="7" fillId="9" borderId="0" xfId="0" applyFont="1" applyFill="1" applyAlignment="1">
      <alignment horizontal="center" vertical="center"/>
    </xf>
    <xf numFmtId="0" fontId="12" fillId="13" borderId="0" xfId="0" applyFont="1" applyFill="1" applyAlignment="1">
      <alignment horizontal="left" vertical="center" wrapText="1"/>
    </xf>
    <xf numFmtId="0" fontId="7" fillId="12" borderId="0" xfId="0" applyFont="1" applyFill="1" applyAlignment="1">
      <alignment horizontal="center" vertical="center"/>
    </xf>
    <xf numFmtId="0" fontId="10" fillId="7" borderId="0" xfId="0" applyFont="1" applyFill="1" applyAlignment="1">
      <alignment horizontal="center" vertical="center"/>
    </xf>
    <xf numFmtId="0" fontId="12" fillId="13" borderId="0" xfId="0" applyFont="1" applyFill="1" applyAlignment="1">
      <alignment horizontal="left" vertical="center"/>
    </xf>
    <xf numFmtId="0" fontId="10" fillId="8" borderId="0" xfId="0" applyFont="1" applyFill="1" applyAlignment="1">
      <alignment horizontal="center" vertical="center"/>
    </xf>
    <xf numFmtId="0" fontId="10" fillId="9" borderId="0" xfId="0" applyFont="1" applyFill="1" applyAlignment="1">
      <alignment horizontal="center" vertical="center"/>
    </xf>
    <xf numFmtId="0" fontId="13" fillId="14" borderId="0" xfId="0" applyFont="1" applyFill="1" applyAlignment="1">
      <alignment horizontal="left" vertical="center"/>
    </xf>
    <xf numFmtId="0" fontId="10" fillId="10" borderId="0" xfId="0" applyFont="1" applyFill="1" applyAlignment="1">
      <alignment horizontal="center" vertical="center"/>
    </xf>
    <xf numFmtId="0" fontId="9" fillId="4"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9" fillId="3" borderId="1" xfId="0" applyFont="1" applyFill="1" applyBorder="1" applyAlignment="1">
      <alignment horizontal="left" vertical="center"/>
    </xf>
    <xf numFmtId="0" fontId="10" fillId="11" borderId="0" xfId="0" applyFont="1" applyFill="1" applyAlignment="1">
      <alignment horizontal="center" vertical="center"/>
    </xf>
    <xf numFmtId="0" fontId="24" fillId="16"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showGridLines="0" workbookViewId="0">
      <selection activeCell="B9" sqref="B9"/>
    </sheetView>
  </sheetViews>
  <sheetFormatPr baseColWidth="10" defaultColWidth="8.83203125" defaultRowHeight="15" x14ac:dyDescent="0.2"/>
  <cols>
    <col min="1" max="1" width="25" customWidth="1"/>
    <col min="2" max="2" width="22" customWidth="1"/>
    <col min="3" max="4" width="18" customWidth="1"/>
    <col min="5" max="5" width="15" customWidth="1"/>
    <col min="6" max="7" width="12" customWidth="1"/>
  </cols>
  <sheetData>
    <row r="1" spans="1:7" ht="42" customHeight="1" x14ac:dyDescent="0.2">
      <c r="A1" s="80" t="s">
        <v>49</v>
      </c>
      <c r="B1" s="76"/>
      <c r="C1" s="76"/>
      <c r="D1" s="76"/>
      <c r="E1" s="76"/>
      <c r="F1" s="76"/>
      <c r="G1" s="76"/>
    </row>
    <row r="2" spans="1:7" ht="20" customHeight="1" x14ac:dyDescent="0.2">
      <c r="A2" s="86" t="s">
        <v>50</v>
      </c>
      <c r="B2" s="76"/>
      <c r="C2" s="76"/>
      <c r="D2" s="76"/>
      <c r="E2" s="76"/>
      <c r="F2" s="76"/>
      <c r="G2" s="76"/>
    </row>
    <row r="4" spans="1:7" ht="20" customHeight="1" x14ac:dyDescent="0.2">
      <c r="A4" s="84" t="s">
        <v>51</v>
      </c>
      <c r="B4" s="76"/>
      <c r="C4" s="76"/>
      <c r="D4" s="76"/>
      <c r="E4" s="76"/>
      <c r="F4" s="76"/>
      <c r="G4" s="76"/>
    </row>
    <row r="5" spans="1:7" ht="48" customHeight="1" x14ac:dyDescent="0.2">
      <c r="A5" s="85" t="s">
        <v>52</v>
      </c>
      <c r="B5" s="76"/>
      <c r="C5" s="76"/>
      <c r="D5" s="76"/>
      <c r="E5" s="76"/>
      <c r="F5" s="76"/>
      <c r="G5" s="76"/>
    </row>
    <row r="7" spans="1:7" ht="18" customHeight="1" x14ac:dyDescent="0.2">
      <c r="A7" s="1" t="s">
        <v>53</v>
      </c>
      <c r="B7" s="1" t="s">
        <v>54</v>
      </c>
      <c r="C7" s="1" t="s">
        <v>55</v>
      </c>
      <c r="D7" s="1" t="s">
        <v>56</v>
      </c>
    </row>
    <row r="8" spans="1:7" x14ac:dyDescent="0.2">
      <c r="A8" s="2" t="s">
        <v>57</v>
      </c>
      <c r="B8" s="3" t="s">
        <v>58</v>
      </c>
      <c r="C8" s="3" t="s">
        <v>59</v>
      </c>
      <c r="D8" s="3" t="s">
        <v>60</v>
      </c>
    </row>
    <row r="9" spans="1:7" x14ac:dyDescent="0.2">
      <c r="A9" s="4" t="s">
        <v>61</v>
      </c>
      <c r="B9" s="5" t="s">
        <v>62</v>
      </c>
      <c r="C9" s="5" t="s">
        <v>63</v>
      </c>
      <c r="D9" s="5" t="s">
        <v>64</v>
      </c>
    </row>
    <row r="10" spans="1:7" x14ac:dyDescent="0.2">
      <c r="A10" s="2" t="s">
        <v>65</v>
      </c>
      <c r="B10" s="3" t="s">
        <v>66</v>
      </c>
      <c r="C10" s="3" t="s">
        <v>67</v>
      </c>
      <c r="D10" s="3" t="s">
        <v>68</v>
      </c>
    </row>
    <row r="11" spans="1:7" x14ac:dyDescent="0.2">
      <c r="A11" s="4" t="s">
        <v>69</v>
      </c>
      <c r="B11" s="5" t="s">
        <v>70</v>
      </c>
      <c r="C11" s="5" t="s">
        <v>71</v>
      </c>
      <c r="D11" s="5" t="s">
        <v>72</v>
      </c>
    </row>
    <row r="12" spans="1:7" x14ac:dyDescent="0.2">
      <c r="A12" s="2" t="s">
        <v>73</v>
      </c>
      <c r="B12" s="3" t="s">
        <v>74</v>
      </c>
      <c r="C12" s="3" t="s">
        <v>75</v>
      </c>
      <c r="D12" s="3" t="s">
        <v>76</v>
      </c>
    </row>
    <row r="15" spans="1:7" ht="20" customHeight="1" x14ac:dyDescent="0.2">
      <c r="A15" s="78" t="s">
        <v>77</v>
      </c>
      <c r="B15" s="76"/>
      <c r="C15" s="76"/>
      <c r="D15" s="76"/>
      <c r="E15" s="76"/>
      <c r="F15" s="76"/>
      <c r="G15" s="76"/>
    </row>
    <row r="16" spans="1:7" ht="16" customHeight="1" x14ac:dyDescent="0.2">
      <c r="A16" s="6" t="s">
        <v>78</v>
      </c>
      <c r="B16" s="6" t="s">
        <v>79</v>
      </c>
    </row>
    <row r="17" spans="1:7" x14ac:dyDescent="0.2">
      <c r="A17" s="7" t="s">
        <v>80</v>
      </c>
      <c r="B17" s="83" t="s">
        <v>81</v>
      </c>
      <c r="C17" s="82"/>
      <c r="D17" s="82"/>
      <c r="E17" s="82"/>
      <c r="F17" s="82"/>
      <c r="G17" s="82"/>
    </row>
    <row r="18" spans="1:7" x14ac:dyDescent="0.2">
      <c r="A18" s="4" t="s">
        <v>82</v>
      </c>
      <c r="B18" s="81" t="s">
        <v>83</v>
      </c>
      <c r="C18" s="82"/>
      <c r="D18" s="82"/>
      <c r="E18" s="82"/>
      <c r="F18" s="82"/>
      <c r="G18" s="82"/>
    </row>
    <row r="19" spans="1:7" x14ac:dyDescent="0.2">
      <c r="A19" s="7" t="s">
        <v>84</v>
      </c>
      <c r="B19" s="83" t="s">
        <v>85</v>
      </c>
      <c r="C19" s="82"/>
      <c r="D19" s="82"/>
      <c r="E19" s="82"/>
      <c r="F19" s="82"/>
      <c r="G19" s="82"/>
    </row>
    <row r="20" spans="1:7" x14ac:dyDescent="0.2">
      <c r="A20" s="4" t="s">
        <v>86</v>
      </c>
      <c r="B20" s="81" t="s">
        <v>87</v>
      </c>
      <c r="C20" s="82"/>
      <c r="D20" s="82"/>
      <c r="E20" s="82"/>
      <c r="F20" s="82"/>
      <c r="G20" s="82"/>
    </row>
    <row r="21" spans="1:7" x14ac:dyDescent="0.2">
      <c r="A21" s="7" t="s">
        <v>88</v>
      </c>
      <c r="B21" s="83" t="s">
        <v>89</v>
      </c>
      <c r="C21" s="82"/>
      <c r="D21" s="82"/>
      <c r="E21" s="82"/>
      <c r="F21" s="82"/>
      <c r="G21" s="82"/>
    </row>
    <row r="22" spans="1:7" x14ac:dyDescent="0.2">
      <c r="A22" s="4" t="s">
        <v>90</v>
      </c>
      <c r="B22" s="81" t="s">
        <v>91</v>
      </c>
      <c r="C22" s="82"/>
      <c r="D22" s="82"/>
      <c r="E22" s="82"/>
      <c r="F22" s="82"/>
      <c r="G22" s="82"/>
    </row>
    <row r="23" spans="1:7" x14ac:dyDescent="0.2">
      <c r="A23" s="7" t="s">
        <v>92</v>
      </c>
      <c r="B23" s="83" t="s">
        <v>93</v>
      </c>
      <c r="C23" s="82"/>
      <c r="D23" s="82"/>
      <c r="E23" s="82"/>
      <c r="F23" s="82"/>
      <c r="G23" s="82"/>
    </row>
    <row r="24" spans="1:7" x14ac:dyDescent="0.2">
      <c r="A24" s="4" t="s">
        <v>94</v>
      </c>
      <c r="B24" s="81" t="s">
        <v>95</v>
      </c>
      <c r="C24" s="82"/>
      <c r="D24" s="82"/>
      <c r="E24" s="82"/>
      <c r="F24" s="82"/>
      <c r="G24" s="82"/>
    </row>
    <row r="25" spans="1:7" x14ac:dyDescent="0.2">
      <c r="A25" s="7" t="s">
        <v>96</v>
      </c>
      <c r="B25" s="83" t="s">
        <v>97</v>
      </c>
      <c r="C25" s="82"/>
      <c r="D25" s="82"/>
      <c r="E25" s="82"/>
      <c r="F25" s="82"/>
      <c r="G25" s="82"/>
    </row>
    <row r="26" spans="1:7" x14ac:dyDescent="0.2">
      <c r="A26" s="4" t="s">
        <v>98</v>
      </c>
      <c r="B26" s="81" t="s">
        <v>99</v>
      </c>
      <c r="C26" s="82"/>
      <c r="D26" s="82"/>
      <c r="E26" s="82"/>
      <c r="F26" s="82"/>
      <c r="G26" s="82"/>
    </row>
  </sheetData>
  <mergeCells count="15">
    <mergeCell ref="B26:G26"/>
    <mergeCell ref="A15:G15"/>
    <mergeCell ref="B18:G18"/>
    <mergeCell ref="B21:G21"/>
    <mergeCell ref="B25:G25"/>
    <mergeCell ref="B24:G24"/>
    <mergeCell ref="B19:G19"/>
    <mergeCell ref="B20:G20"/>
    <mergeCell ref="A1:G1"/>
    <mergeCell ref="B22:G22"/>
    <mergeCell ref="B23:G23"/>
    <mergeCell ref="B17:G17"/>
    <mergeCell ref="A4:G4"/>
    <mergeCell ref="A5:G5"/>
    <mergeCell ref="A2:G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8"/>
  <sheetViews>
    <sheetView showGridLines="0" topLeftCell="A2" workbookViewId="0">
      <selection sqref="A1:F1"/>
    </sheetView>
  </sheetViews>
  <sheetFormatPr baseColWidth="10" defaultColWidth="8.83203125" defaultRowHeight="15" x14ac:dyDescent="0.2"/>
  <cols>
    <col min="1" max="1" width="18" customWidth="1"/>
    <col min="2" max="2" width="22" customWidth="1"/>
    <col min="3" max="3" width="48" customWidth="1"/>
    <col min="4" max="4" width="18" customWidth="1"/>
    <col min="5" max="5" width="15" customWidth="1"/>
  </cols>
  <sheetData>
    <row r="1" spans="1:6" ht="35" customHeight="1" x14ac:dyDescent="0.2">
      <c r="A1" s="75" t="s">
        <v>100</v>
      </c>
      <c r="B1" s="76"/>
      <c r="C1" s="76"/>
      <c r="D1" s="76"/>
      <c r="E1" s="76"/>
      <c r="F1" s="76"/>
    </row>
    <row r="3" spans="1:6" ht="22" customHeight="1" x14ac:dyDescent="0.2">
      <c r="A3" s="79" t="s">
        <v>101</v>
      </c>
      <c r="B3" s="76"/>
      <c r="C3" s="76"/>
      <c r="D3" s="76"/>
      <c r="E3" s="76"/>
      <c r="F3" s="76"/>
    </row>
    <row r="4" spans="1:6" ht="16" customHeight="1" x14ac:dyDescent="0.2">
      <c r="A4" s="6" t="s">
        <v>102</v>
      </c>
      <c r="B4" s="6" t="s">
        <v>103</v>
      </c>
      <c r="C4" s="6" t="s">
        <v>104</v>
      </c>
      <c r="D4" s="6" t="s">
        <v>105</v>
      </c>
      <c r="E4" s="6" t="s">
        <v>106</v>
      </c>
    </row>
    <row r="5" spans="1:6" ht="22" customHeight="1" x14ac:dyDescent="0.2">
      <c r="A5" s="2" t="s">
        <v>107</v>
      </c>
      <c r="B5" s="8" t="s">
        <v>108</v>
      </c>
      <c r="C5" s="9" t="s">
        <v>109</v>
      </c>
      <c r="D5" s="10" t="s">
        <v>110</v>
      </c>
      <c r="E5" s="11" t="s">
        <v>111</v>
      </c>
    </row>
    <row r="6" spans="1:6" ht="22" customHeight="1" x14ac:dyDescent="0.2">
      <c r="A6" s="4" t="s">
        <v>112</v>
      </c>
      <c r="B6" s="12" t="s">
        <v>113</v>
      </c>
      <c r="C6" s="13" t="s">
        <v>114</v>
      </c>
      <c r="D6" s="14" t="s">
        <v>115</v>
      </c>
      <c r="E6" s="15" t="s">
        <v>116</v>
      </c>
    </row>
    <row r="7" spans="1:6" ht="22" customHeight="1" x14ac:dyDescent="0.2">
      <c r="A7" s="2" t="s">
        <v>117</v>
      </c>
      <c r="B7" s="8" t="s">
        <v>118</v>
      </c>
      <c r="C7" s="9" t="s">
        <v>119</v>
      </c>
      <c r="D7" s="10" t="s">
        <v>110</v>
      </c>
      <c r="E7" s="11" t="s">
        <v>111</v>
      </c>
    </row>
    <row r="8" spans="1:6" ht="22" customHeight="1" x14ac:dyDescent="0.2">
      <c r="A8" s="4" t="s">
        <v>120</v>
      </c>
      <c r="B8" s="12" t="s">
        <v>121</v>
      </c>
      <c r="C8" s="13" t="s">
        <v>122</v>
      </c>
      <c r="D8" s="14" t="s">
        <v>110</v>
      </c>
      <c r="E8" s="16" t="s">
        <v>111</v>
      </c>
    </row>
    <row r="9" spans="1:6" ht="22" customHeight="1" x14ac:dyDescent="0.2">
      <c r="A9" s="2" t="s">
        <v>123</v>
      </c>
      <c r="B9" s="8" t="s">
        <v>124</v>
      </c>
      <c r="C9" s="9" t="s">
        <v>125</v>
      </c>
      <c r="D9" s="10" t="s">
        <v>110</v>
      </c>
      <c r="E9" s="11" t="s">
        <v>111</v>
      </c>
    </row>
    <row r="10" spans="1:6" ht="22" customHeight="1" x14ac:dyDescent="0.2">
      <c r="A10" s="4" t="s">
        <v>126</v>
      </c>
      <c r="B10" s="12" t="s">
        <v>127</v>
      </c>
      <c r="C10" s="13" t="s">
        <v>128</v>
      </c>
      <c r="D10" s="14" t="s">
        <v>129</v>
      </c>
      <c r="E10" s="16" t="s">
        <v>111</v>
      </c>
    </row>
    <row r="12" spans="1:6" ht="22" customHeight="1" x14ac:dyDescent="0.2">
      <c r="A12" s="89" t="s">
        <v>130</v>
      </c>
      <c r="B12" s="76"/>
      <c r="C12" s="76"/>
      <c r="D12" s="76"/>
      <c r="E12" s="76"/>
      <c r="F12" s="76"/>
    </row>
    <row r="13" spans="1:6" ht="16" customHeight="1" x14ac:dyDescent="0.2">
      <c r="A13" s="6" t="s">
        <v>102</v>
      </c>
      <c r="B13" s="6" t="s">
        <v>103</v>
      </c>
      <c r="C13" s="6" t="s">
        <v>104</v>
      </c>
      <c r="D13" s="6" t="s">
        <v>105</v>
      </c>
      <c r="E13" s="6" t="s">
        <v>106</v>
      </c>
    </row>
    <row r="14" spans="1:6" ht="22" customHeight="1" x14ac:dyDescent="0.2">
      <c r="A14" s="2" t="s">
        <v>131</v>
      </c>
      <c r="B14" s="8" t="s">
        <v>132</v>
      </c>
      <c r="C14" s="9" t="s">
        <v>133</v>
      </c>
      <c r="D14" s="10" t="s">
        <v>110</v>
      </c>
      <c r="E14" s="11" t="s">
        <v>111</v>
      </c>
    </row>
    <row r="15" spans="1:6" ht="22" customHeight="1" x14ac:dyDescent="0.2">
      <c r="A15" s="4" t="s">
        <v>107</v>
      </c>
      <c r="B15" s="12" t="s">
        <v>134</v>
      </c>
      <c r="C15" s="13" t="s">
        <v>135</v>
      </c>
      <c r="D15" s="14" t="s">
        <v>136</v>
      </c>
      <c r="E15" s="16" t="s">
        <v>111</v>
      </c>
    </row>
    <row r="16" spans="1:6" ht="22" customHeight="1" x14ac:dyDescent="0.2">
      <c r="A16" s="2" t="s">
        <v>123</v>
      </c>
      <c r="B16" s="8" t="s">
        <v>137</v>
      </c>
      <c r="C16" s="9" t="s">
        <v>138</v>
      </c>
      <c r="D16" s="10" t="s">
        <v>110</v>
      </c>
      <c r="E16" s="11" t="s">
        <v>111</v>
      </c>
    </row>
    <row r="17" spans="1:6" ht="22" customHeight="1" x14ac:dyDescent="0.2">
      <c r="A17" s="4" t="s">
        <v>139</v>
      </c>
      <c r="B17" s="12" t="s">
        <v>140</v>
      </c>
      <c r="C17" s="13" t="s">
        <v>141</v>
      </c>
      <c r="D17" s="14" t="s">
        <v>110</v>
      </c>
      <c r="E17" s="16" t="s">
        <v>111</v>
      </c>
    </row>
    <row r="18" spans="1:6" ht="22" customHeight="1" x14ac:dyDescent="0.2">
      <c r="A18" s="2" t="s">
        <v>142</v>
      </c>
      <c r="B18" s="8" t="s">
        <v>143</v>
      </c>
      <c r="C18" s="9" t="s">
        <v>144</v>
      </c>
      <c r="D18" s="10" t="s">
        <v>110</v>
      </c>
      <c r="E18" s="11" t="s">
        <v>111</v>
      </c>
    </row>
    <row r="19" spans="1:6" ht="22" customHeight="1" x14ac:dyDescent="0.2">
      <c r="A19" s="4" t="s">
        <v>145</v>
      </c>
      <c r="B19" s="12" t="s">
        <v>146</v>
      </c>
      <c r="C19" s="13" t="s">
        <v>147</v>
      </c>
      <c r="D19" s="14" t="s">
        <v>110</v>
      </c>
      <c r="E19" s="17" t="s">
        <v>148</v>
      </c>
    </row>
    <row r="21" spans="1:6" ht="22" customHeight="1" x14ac:dyDescent="0.2">
      <c r="A21" s="90" t="s">
        <v>149</v>
      </c>
      <c r="B21" s="76"/>
      <c r="C21" s="76"/>
      <c r="D21" s="76"/>
      <c r="E21" s="76"/>
      <c r="F21" s="76"/>
    </row>
    <row r="22" spans="1:6" ht="16" customHeight="1" x14ac:dyDescent="0.2">
      <c r="A22" s="6" t="s">
        <v>102</v>
      </c>
      <c r="B22" s="6" t="s">
        <v>103</v>
      </c>
      <c r="C22" s="6" t="s">
        <v>104</v>
      </c>
      <c r="D22" s="6" t="s">
        <v>105</v>
      </c>
      <c r="E22" s="6" t="s">
        <v>106</v>
      </c>
    </row>
    <row r="23" spans="1:6" ht="22" customHeight="1" x14ac:dyDescent="0.2">
      <c r="A23" s="2" t="s">
        <v>150</v>
      </c>
      <c r="B23" s="8" t="s">
        <v>151</v>
      </c>
      <c r="C23" s="9" t="s">
        <v>152</v>
      </c>
      <c r="D23" s="10" t="s">
        <v>110</v>
      </c>
      <c r="E23" s="11" t="s">
        <v>111</v>
      </c>
    </row>
    <row r="24" spans="1:6" ht="22" customHeight="1" x14ac:dyDescent="0.2">
      <c r="A24" s="4" t="s">
        <v>153</v>
      </c>
      <c r="B24" s="12" t="s">
        <v>154</v>
      </c>
      <c r="C24" s="13" t="s">
        <v>155</v>
      </c>
      <c r="D24" s="14" t="s">
        <v>110</v>
      </c>
      <c r="E24" s="16" t="s">
        <v>111</v>
      </c>
    </row>
    <row r="25" spans="1:6" ht="22" customHeight="1" x14ac:dyDescent="0.2">
      <c r="A25" s="2" t="s">
        <v>156</v>
      </c>
      <c r="B25" s="8" t="s">
        <v>157</v>
      </c>
      <c r="C25" s="9" t="s">
        <v>158</v>
      </c>
      <c r="D25" s="10" t="s">
        <v>115</v>
      </c>
      <c r="E25" s="18" t="s">
        <v>148</v>
      </c>
    </row>
    <row r="27" spans="1:6" ht="22" customHeight="1" x14ac:dyDescent="0.2">
      <c r="A27" s="88" t="s">
        <v>159</v>
      </c>
      <c r="B27" s="76"/>
      <c r="C27" s="76"/>
      <c r="D27" s="76"/>
      <c r="E27" s="76"/>
      <c r="F27" s="76"/>
    </row>
    <row r="28" spans="1:6" ht="16" customHeight="1" x14ac:dyDescent="0.2">
      <c r="A28" s="6" t="s">
        <v>102</v>
      </c>
      <c r="B28" s="6" t="s">
        <v>103</v>
      </c>
      <c r="C28" s="6" t="s">
        <v>104</v>
      </c>
      <c r="D28" s="6" t="s">
        <v>105</v>
      </c>
      <c r="E28" s="6" t="s">
        <v>106</v>
      </c>
    </row>
    <row r="29" spans="1:6" ht="22" customHeight="1" x14ac:dyDescent="0.2">
      <c r="A29" s="2" t="s">
        <v>160</v>
      </c>
      <c r="B29" s="8" t="s">
        <v>161</v>
      </c>
      <c r="C29" s="9" t="s">
        <v>162</v>
      </c>
      <c r="D29" s="10" t="s">
        <v>129</v>
      </c>
      <c r="E29" s="11" t="s">
        <v>111</v>
      </c>
    </row>
    <row r="30" spans="1:6" ht="22" customHeight="1" x14ac:dyDescent="0.2">
      <c r="A30" s="4" t="s">
        <v>163</v>
      </c>
      <c r="B30" s="12" t="s">
        <v>164</v>
      </c>
      <c r="C30" s="13" t="s">
        <v>165</v>
      </c>
      <c r="D30" s="14" t="s">
        <v>110</v>
      </c>
      <c r="E30" s="16" t="s">
        <v>111</v>
      </c>
    </row>
    <row r="31" spans="1:6" ht="22" customHeight="1" x14ac:dyDescent="0.2">
      <c r="A31" s="2" t="s">
        <v>166</v>
      </c>
      <c r="B31" s="8" t="s">
        <v>167</v>
      </c>
      <c r="C31" s="9" t="s">
        <v>168</v>
      </c>
      <c r="D31" s="10" t="s">
        <v>110</v>
      </c>
      <c r="E31" s="11" t="s">
        <v>111</v>
      </c>
    </row>
    <row r="32" spans="1:6" ht="22" customHeight="1" x14ac:dyDescent="0.2">
      <c r="A32" s="4" t="s">
        <v>169</v>
      </c>
      <c r="B32" s="12" t="s">
        <v>170</v>
      </c>
      <c r="C32" s="13" t="s">
        <v>171</v>
      </c>
      <c r="D32" s="14" t="s">
        <v>110</v>
      </c>
      <c r="E32" s="17" t="s">
        <v>148</v>
      </c>
    </row>
    <row r="33" spans="1:6" ht="22" customHeight="1" x14ac:dyDescent="0.2">
      <c r="A33" s="2" t="s">
        <v>172</v>
      </c>
      <c r="B33" s="8" t="s">
        <v>173</v>
      </c>
      <c r="C33" s="9" t="s">
        <v>174</v>
      </c>
      <c r="D33" s="10" t="s">
        <v>110</v>
      </c>
      <c r="E33" s="11" t="s">
        <v>111</v>
      </c>
    </row>
    <row r="34" spans="1:6" ht="22" customHeight="1" x14ac:dyDescent="0.2">
      <c r="A34" s="4" t="s">
        <v>175</v>
      </c>
      <c r="B34" s="12" t="s">
        <v>176</v>
      </c>
      <c r="C34" s="13" t="s">
        <v>177</v>
      </c>
      <c r="D34" s="14" t="s">
        <v>115</v>
      </c>
      <c r="E34" s="15" t="s">
        <v>116</v>
      </c>
    </row>
    <row r="36" spans="1:6" ht="22" customHeight="1" x14ac:dyDescent="0.2">
      <c r="A36" s="87" t="s">
        <v>178</v>
      </c>
      <c r="B36" s="76"/>
      <c r="C36" s="76"/>
      <c r="D36" s="76"/>
      <c r="E36" s="76"/>
      <c r="F36" s="76"/>
    </row>
    <row r="37" spans="1:6" ht="16" customHeight="1" x14ac:dyDescent="0.2">
      <c r="A37" s="6" t="s">
        <v>102</v>
      </c>
      <c r="B37" s="6" t="s">
        <v>103</v>
      </c>
      <c r="C37" s="6" t="s">
        <v>104</v>
      </c>
      <c r="D37" s="6" t="s">
        <v>105</v>
      </c>
      <c r="E37" s="6" t="s">
        <v>106</v>
      </c>
    </row>
    <row r="38" spans="1:6" ht="22" customHeight="1" x14ac:dyDescent="0.2">
      <c r="A38" s="2" t="s">
        <v>179</v>
      </c>
      <c r="B38" s="8" t="s">
        <v>180</v>
      </c>
      <c r="C38" s="9" t="s">
        <v>181</v>
      </c>
      <c r="D38" s="10" t="s">
        <v>110</v>
      </c>
      <c r="E38" s="11" t="s">
        <v>111</v>
      </c>
    </row>
    <row r="39" spans="1:6" ht="22" customHeight="1" x14ac:dyDescent="0.2">
      <c r="A39" s="4" t="s">
        <v>182</v>
      </c>
      <c r="B39" s="12" t="s">
        <v>183</v>
      </c>
      <c r="C39" s="13" t="s">
        <v>184</v>
      </c>
      <c r="D39" s="14" t="s">
        <v>110</v>
      </c>
      <c r="E39" s="16" t="s">
        <v>111</v>
      </c>
    </row>
    <row r="40" spans="1:6" ht="22" customHeight="1" x14ac:dyDescent="0.2">
      <c r="A40" s="2" t="s">
        <v>185</v>
      </c>
      <c r="B40" s="8" t="s">
        <v>186</v>
      </c>
      <c r="C40" s="9" t="s">
        <v>187</v>
      </c>
      <c r="D40" s="10" t="s">
        <v>115</v>
      </c>
      <c r="E40" s="19" t="s">
        <v>116</v>
      </c>
    </row>
    <row r="41" spans="1:6" ht="22" customHeight="1" x14ac:dyDescent="0.2">
      <c r="A41" s="4" t="s">
        <v>188</v>
      </c>
      <c r="B41" s="12" t="s">
        <v>189</v>
      </c>
      <c r="C41" s="13" t="s">
        <v>190</v>
      </c>
      <c r="D41" s="14" t="s">
        <v>110</v>
      </c>
      <c r="E41" s="16" t="s">
        <v>111</v>
      </c>
    </row>
    <row r="42" spans="1:6" ht="22" customHeight="1" x14ac:dyDescent="0.2">
      <c r="A42" s="2" t="s">
        <v>191</v>
      </c>
      <c r="B42" s="8" t="s">
        <v>192</v>
      </c>
      <c r="C42" s="9" t="s">
        <v>193</v>
      </c>
      <c r="D42" s="10" t="s">
        <v>110</v>
      </c>
      <c r="E42" s="18" t="s">
        <v>148</v>
      </c>
    </row>
    <row r="44" spans="1:6" ht="22" customHeight="1" x14ac:dyDescent="0.2">
      <c r="A44" s="78" t="s">
        <v>194</v>
      </c>
      <c r="B44" s="76"/>
      <c r="C44" s="76"/>
      <c r="D44" s="76"/>
      <c r="E44" s="76"/>
      <c r="F44" s="76"/>
    </row>
    <row r="45" spans="1:6" ht="16" customHeight="1" x14ac:dyDescent="0.2">
      <c r="A45" s="6" t="s">
        <v>102</v>
      </c>
      <c r="B45" s="6" t="s">
        <v>103</v>
      </c>
      <c r="C45" s="6" t="s">
        <v>104</v>
      </c>
      <c r="D45" s="6" t="s">
        <v>105</v>
      </c>
      <c r="E45" s="6" t="s">
        <v>106</v>
      </c>
    </row>
    <row r="46" spans="1:6" ht="22" customHeight="1" x14ac:dyDescent="0.2">
      <c r="A46" s="2" t="s">
        <v>195</v>
      </c>
      <c r="B46" s="8" t="s">
        <v>196</v>
      </c>
      <c r="C46" s="9" t="s">
        <v>197</v>
      </c>
      <c r="D46" s="10" t="s">
        <v>110</v>
      </c>
      <c r="E46" s="11" t="s">
        <v>111</v>
      </c>
    </row>
    <row r="47" spans="1:6" ht="22" customHeight="1" x14ac:dyDescent="0.2">
      <c r="A47" s="4" t="s">
        <v>198</v>
      </c>
      <c r="B47" s="12" t="s">
        <v>199</v>
      </c>
      <c r="C47" s="13" t="s">
        <v>200</v>
      </c>
      <c r="D47" s="14" t="s">
        <v>201</v>
      </c>
      <c r="E47" s="15" t="s">
        <v>116</v>
      </c>
    </row>
    <row r="48" spans="1:6" ht="22" customHeight="1" x14ac:dyDescent="0.2">
      <c r="A48" s="2" t="s">
        <v>202</v>
      </c>
      <c r="B48" s="8" t="s">
        <v>203</v>
      </c>
      <c r="C48" s="9" t="s">
        <v>204</v>
      </c>
      <c r="D48" s="10" t="s">
        <v>115</v>
      </c>
      <c r="E48" s="20" t="s">
        <v>205</v>
      </c>
    </row>
  </sheetData>
  <mergeCells count="7">
    <mergeCell ref="A36:F36"/>
    <mergeCell ref="A44:F44"/>
    <mergeCell ref="A1:F1"/>
    <mergeCell ref="A27:F27"/>
    <mergeCell ref="A12:F12"/>
    <mergeCell ref="A3:F3"/>
    <mergeCell ref="A21:F2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showGridLines="0" workbookViewId="0">
      <selection sqref="A1:F1"/>
    </sheetView>
  </sheetViews>
  <sheetFormatPr baseColWidth="10" defaultColWidth="8.83203125" defaultRowHeight="15" x14ac:dyDescent="0.2"/>
  <cols>
    <col min="1" max="1" width="20" customWidth="1"/>
    <col min="2" max="2" width="25" customWidth="1"/>
    <col min="3" max="4" width="28" customWidth="1"/>
    <col min="5" max="5" width="35" customWidth="1"/>
  </cols>
  <sheetData>
    <row r="1" spans="1:6" ht="35" customHeight="1" x14ac:dyDescent="0.2">
      <c r="A1" s="75" t="s">
        <v>206</v>
      </c>
      <c r="B1" s="76"/>
      <c r="C1" s="76"/>
      <c r="D1" s="76"/>
      <c r="E1" s="76"/>
      <c r="F1" s="76"/>
    </row>
    <row r="3" spans="1:6" ht="22" customHeight="1" x14ac:dyDescent="0.2">
      <c r="A3" s="79" t="s">
        <v>207</v>
      </c>
      <c r="B3" s="76"/>
      <c r="C3" s="76"/>
      <c r="D3" s="76"/>
      <c r="E3" s="76"/>
      <c r="F3" s="76"/>
    </row>
    <row r="4" spans="1:6" ht="16" customHeight="1" x14ac:dyDescent="0.2">
      <c r="A4" s="6" t="s">
        <v>208</v>
      </c>
      <c r="B4" s="6" t="s">
        <v>209</v>
      </c>
      <c r="C4" s="6" t="s">
        <v>210</v>
      </c>
      <c r="D4" s="6" t="s">
        <v>211</v>
      </c>
      <c r="E4" s="6" t="s">
        <v>212</v>
      </c>
    </row>
    <row r="5" spans="1:6" ht="40" customHeight="1" x14ac:dyDescent="0.2">
      <c r="A5" s="21" t="s">
        <v>213</v>
      </c>
      <c r="B5" s="22" t="s">
        <v>214</v>
      </c>
      <c r="C5" s="22" t="s">
        <v>215</v>
      </c>
      <c r="D5" s="22" t="s">
        <v>216</v>
      </c>
      <c r="E5" s="22" t="s">
        <v>217</v>
      </c>
    </row>
    <row r="6" spans="1:6" ht="40" customHeight="1" x14ac:dyDescent="0.2">
      <c r="A6" s="23" t="s">
        <v>218</v>
      </c>
      <c r="B6" s="24" t="s">
        <v>219</v>
      </c>
      <c r="C6" s="24" t="s">
        <v>220</v>
      </c>
      <c r="D6" s="24" t="s">
        <v>221</v>
      </c>
      <c r="E6" s="24" t="s">
        <v>222</v>
      </c>
    </row>
    <row r="7" spans="1:6" ht="40" customHeight="1" x14ac:dyDescent="0.2">
      <c r="A7" s="21" t="s">
        <v>223</v>
      </c>
      <c r="B7" s="22" t="s">
        <v>224</v>
      </c>
      <c r="C7" s="22" t="s">
        <v>225</v>
      </c>
      <c r="D7" s="22" t="s">
        <v>226</v>
      </c>
      <c r="E7" s="22" t="s">
        <v>227</v>
      </c>
    </row>
    <row r="9" spans="1:6" ht="22" customHeight="1" x14ac:dyDescent="0.2">
      <c r="A9" s="89" t="s">
        <v>228</v>
      </c>
      <c r="B9" s="76"/>
      <c r="C9" s="76"/>
      <c r="D9" s="76"/>
      <c r="E9" s="76"/>
      <c r="F9" s="76"/>
    </row>
    <row r="10" spans="1:6" ht="16" customHeight="1" x14ac:dyDescent="0.2">
      <c r="A10" s="6" t="s">
        <v>208</v>
      </c>
      <c r="B10" s="6" t="s">
        <v>209</v>
      </c>
      <c r="C10" s="6" t="s">
        <v>210</v>
      </c>
      <c r="D10" s="6" t="s">
        <v>211</v>
      </c>
      <c r="E10" s="6" t="s">
        <v>212</v>
      </c>
    </row>
    <row r="11" spans="1:6" ht="40" customHeight="1" x14ac:dyDescent="0.2">
      <c r="A11" s="21" t="s">
        <v>229</v>
      </c>
      <c r="B11" s="22" t="s">
        <v>230</v>
      </c>
      <c r="C11" s="22" t="s">
        <v>231</v>
      </c>
      <c r="D11" s="22" t="s">
        <v>232</v>
      </c>
      <c r="E11" s="22" t="s">
        <v>233</v>
      </c>
    </row>
    <row r="12" spans="1:6" ht="40" customHeight="1" x14ac:dyDescent="0.2">
      <c r="A12" s="23" t="s">
        <v>234</v>
      </c>
      <c r="B12" s="24" t="s">
        <v>235</v>
      </c>
      <c r="C12" s="24" t="s">
        <v>236</v>
      </c>
      <c r="D12" s="24" t="s">
        <v>237</v>
      </c>
      <c r="E12" s="24" t="s">
        <v>238</v>
      </c>
    </row>
    <row r="14" spans="1:6" ht="22" customHeight="1" x14ac:dyDescent="0.2">
      <c r="A14" s="90" t="s">
        <v>239</v>
      </c>
      <c r="B14" s="76"/>
      <c r="C14" s="76"/>
      <c r="D14" s="76"/>
      <c r="E14" s="76"/>
      <c r="F14" s="76"/>
    </row>
    <row r="15" spans="1:6" ht="16" customHeight="1" x14ac:dyDescent="0.2">
      <c r="A15" s="6" t="s">
        <v>208</v>
      </c>
      <c r="B15" s="6" t="s">
        <v>209</v>
      </c>
      <c r="C15" s="6" t="s">
        <v>210</v>
      </c>
      <c r="D15" s="6" t="s">
        <v>211</v>
      </c>
      <c r="E15" s="6" t="s">
        <v>212</v>
      </c>
    </row>
    <row r="16" spans="1:6" ht="40" customHeight="1" x14ac:dyDescent="0.2">
      <c r="A16" s="21" t="s">
        <v>240</v>
      </c>
      <c r="B16" s="22" t="s">
        <v>241</v>
      </c>
      <c r="C16" s="22" t="s">
        <v>242</v>
      </c>
      <c r="D16" s="22" t="s">
        <v>243</v>
      </c>
      <c r="E16" s="22" t="s">
        <v>244</v>
      </c>
    </row>
    <row r="18" spans="1:6" ht="22" customHeight="1" x14ac:dyDescent="0.2">
      <c r="A18" s="88" t="s">
        <v>245</v>
      </c>
      <c r="B18" s="76"/>
      <c r="C18" s="76"/>
      <c r="D18" s="76"/>
      <c r="E18" s="76"/>
      <c r="F18" s="76"/>
    </row>
    <row r="19" spans="1:6" ht="16" customHeight="1" x14ac:dyDescent="0.2">
      <c r="A19" s="6" t="s">
        <v>208</v>
      </c>
      <c r="B19" s="6" t="s">
        <v>209</v>
      </c>
      <c r="C19" s="6" t="s">
        <v>210</v>
      </c>
      <c r="D19" s="6" t="s">
        <v>211</v>
      </c>
      <c r="E19" s="6" t="s">
        <v>212</v>
      </c>
    </row>
    <row r="20" spans="1:6" ht="40" customHeight="1" x14ac:dyDescent="0.2">
      <c r="A20" s="21" t="s">
        <v>246</v>
      </c>
      <c r="B20" s="22" t="s">
        <v>247</v>
      </c>
      <c r="C20" s="22" t="s">
        <v>248</v>
      </c>
      <c r="D20" s="22" t="s">
        <v>249</v>
      </c>
      <c r="E20" s="22" t="s">
        <v>250</v>
      </c>
    </row>
    <row r="21" spans="1:6" ht="40" customHeight="1" x14ac:dyDescent="0.2">
      <c r="A21" s="23" t="s">
        <v>251</v>
      </c>
      <c r="B21" s="24" t="s">
        <v>252</v>
      </c>
      <c r="C21" s="24" t="s">
        <v>253</v>
      </c>
      <c r="D21" s="24" t="s">
        <v>254</v>
      </c>
      <c r="E21" s="24" t="s">
        <v>255</v>
      </c>
    </row>
    <row r="22" spans="1:6" ht="40" customHeight="1" x14ac:dyDescent="0.2">
      <c r="A22" s="21" t="s">
        <v>256</v>
      </c>
      <c r="B22" s="22" t="s">
        <v>257</v>
      </c>
      <c r="C22" s="22" t="s">
        <v>258</v>
      </c>
      <c r="D22" s="22" t="s">
        <v>259</v>
      </c>
      <c r="E22" s="22" t="s">
        <v>260</v>
      </c>
    </row>
    <row r="24" spans="1:6" ht="22" customHeight="1" x14ac:dyDescent="0.2">
      <c r="A24" s="87" t="s">
        <v>261</v>
      </c>
      <c r="B24" s="76"/>
      <c r="C24" s="76"/>
      <c r="D24" s="76"/>
      <c r="E24" s="76"/>
      <c r="F24" s="76"/>
    </row>
    <row r="25" spans="1:6" ht="16" customHeight="1" x14ac:dyDescent="0.2">
      <c r="A25" s="6" t="s">
        <v>208</v>
      </c>
      <c r="B25" s="6" t="s">
        <v>209</v>
      </c>
      <c r="C25" s="6" t="s">
        <v>210</v>
      </c>
      <c r="D25" s="6" t="s">
        <v>211</v>
      </c>
      <c r="E25" s="6" t="s">
        <v>212</v>
      </c>
    </row>
    <row r="26" spans="1:6" ht="40" customHeight="1" x14ac:dyDescent="0.2">
      <c r="A26" s="21" t="s">
        <v>262</v>
      </c>
      <c r="B26" s="22" t="s">
        <v>263</v>
      </c>
      <c r="C26" s="22" t="s">
        <v>264</v>
      </c>
      <c r="D26" s="22" t="s">
        <v>265</v>
      </c>
      <c r="E26" s="22" t="s">
        <v>266</v>
      </c>
    </row>
    <row r="27" spans="1:6" ht="40" customHeight="1" x14ac:dyDescent="0.2">
      <c r="A27" s="23" t="s">
        <v>267</v>
      </c>
      <c r="B27" s="24" t="s">
        <v>268</v>
      </c>
      <c r="C27" s="24" t="s">
        <v>269</v>
      </c>
      <c r="D27" s="24" t="s">
        <v>270</v>
      </c>
      <c r="E27" s="24" t="s">
        <v>271</v>
      </c>
    </row>
  </sheetData>
  <mergeCells count="6">
    <mergeCell ref="A24:F24"/>
    <mergeCell ref="A14:F14"/>
    <mergeCell ref="A1:F1"/>
    <mergeCell ref="A9:F9"/>
    <mergeCell ref="A18:F18"/>
    <mergeCell ref="A3:F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1"/>
  <sheetViews>
    <sheetView showGridLines="0" workbookViewId="0">
      <selection activeCell="D12" sqref="D12"/>
    </sheetView>
  </sheetViews>
  <sheetFormatPr baseColWidth="10" defaultColWidth="8.83203125" defaultRowHeight="15" x14ac:dyDescent="0.2"/>
  <cols>
    <col min="1" max="1" width="20" customWidth="1"/>
    <col min="2" max="2" width="42" customWidth="1"/>
    <col min="3" max="3" width="16" customWidth="1"/>
    <col min="4" max="5" width="10" customWidth="1"/>
    <col min="6" max="6" width="42" customWidth="1"/>
    <col min="7" max="7" width="10" customWidth="1"/>
  </cols>
  <sheetData>
    <row r="1" spans="1:7" ht="35" customHeight="1" x14ac:dyDescent="0.2">
      <c r="A1" s="93" t="s">
        <v>272</v>
      </c>
      <c r="B1" s="76"/>
      <c r="C1" s="76"/>
      <c r="D1" s="76"/>
      <c r="E1" s="76"/>
      <c r="F1" s="76"/>
      <c r="G1" s="76"/>
    </row>
    <row r="3" spans="1:7" ht="22" customHeight="1" x14ac:dyDescent="0.2">
      <c r="A3" s="78" t="s">
        <v>273</v>
      </c>
      <c r="B3" s="76"/>
      <c r="C3" s="76"/>
      <c r="D3" s="76"/>
      <c r="E3" s="76"/>
      <c r="F3" s="76"/>
      <c r="G3" s="76"/>
    </row>
    <row r="4" spans="1:7" ht="16" customHeight="1" x14ac:dyDescent="0.2">
      <c r="A4" s="6" t="s">
        <v>274</v>
      </c>
      <c r="B4" s="6" t="s">
        <v>275</v>
      </c>
      <c r="C4" s="6" t="s">
        <v>276</v>
      </c>
      <c r="D4" s="6" t="s">
        <v>106</v>
      </c>
      <c r="E4" s="6" t="s">
        <v>277</v>
      </c>
      <c r="F4" s="6" t="s">
        <v>278</v>
      </c>
    </row>
    <row r="5" spans="1:7" ht="65" customHeight="1" x14ac:dyDescent="0.2">
      <c r="A5" s="25" t="s">
        <v>279</v>
      </c>
      <c r="B5" s="26" t="s">
        <v>280</v>
      </c>
      <c r="C5" s="26" t="s">
        <v>281</v>
      </c>
      <c r="D5" s="27" t="s">
        <v>282</v>
      </c>
      <c r="E5" s="26" t="s">
        <v>283</v>
      </c>
      <c r="F5" s="26" t="s">
        <v>284</v>
      </c>
    </row>
    <row r="6" spans="1:7" ht="65" customHeight="1" x14ac:dyDescent="0.2">
      <c r="A6" s="28" t="s">
        <v>285</v>
      </c>
      <c r="B6" s="29" t="s">
        <v>286</v>
      </c>
      <c r="C6" s="29" t="s">
        <v>281</v>
      </c>
      <c r="D6" s="30" t="s">
        <v>282</v>
      </c>
      <c r="E6" s="29" t="s">
        <v>283</v>
      </c>
      <c r="F6" s="29" t="s">
        <v>287</v>
      </c>
    </row>
    <row r="7" spans="1:7" ht="65" customHeight="1" x14ac:dyDescent="0.2">
      <c r="A7" s="25" t="s">
        <v>288</v>
      </c>
      <c r="B7" s="26" t="s">
        <v>289</v>
      </c>
      <c r="C7" s="26" t="s">
        <v>281</v>
      </c>
      <c r="D7" s="31" t="s">
        <v>290</v>
      </c>
      <c r="E7" s="26" t="s">
        <v>291</v>
      </c>
      <c r="F7" s="26" t="s">
        <v>292</v>
      </c>
    </row>
    <row r="9" spans="1:7" ht="22" customHeight="1" x14ac:dyDescent="0.2">
      <c r="A9" s="79" t="s">
        <v>293</v>
      </c>
      <c r="B9" s="76"/>
      <c r="C9" s="76"/>
      <c r="D9" s="76"/>
      <c r="E9" s="76"/>
      <c r="F9" s="76"/>
      <c r="G9" s="76"/>
    </row>
    <row r="10" spans="1:7" ht="16" customHeight="1" x14ac:dyDescent="0.2">
      <c r="A10" s="6" t="s">
        <v>274</v>
      </c>
      <c r="B10" s="6" t="s">
        <v>275</v>
      </c>
      <c r="C10" s="6" t="s">
        <v>276</v>
      </c>
      <c r="D10" s="6" t="s">
        <v>106</v>
      </c>
      <c r="E10" s="6" t="s">
        <v>277</v>
      </c>
      <c r="F10" s="6" t="s">
        <v>278</v>
      </c>
    </row>
    <row r="11" spans="1:7" ht="65" customHeight="1" x14ac:dyDescent="0.2">
      <c r="A11" s="25" t="s">
        <v>294</v>
      </c>
      <c r="B11" s="26" t="s">
        <v>295</v>
      </c>
      <c r="C11" s="26" t="s">
        <v>281</v>
      </c>
      <c r="D11" s="27" t="s">
        <v>282</v>
      </c>
      <c r="E11" s="26" t="s">
        <v>291</v>
      </c>
      <c r="F11" s="26" t="s">
        <v>296</v>
      </c>
    </row>
    <row r="12" spans="1:7" ht="65" customHeight="1" x14ac:dyDescent="0.2">
      <c r="A12" s="28" t="s">
        <v>297</v>
      </c>
      <c r="B12" s="29" t="s">
        <v>298</v>
      </c>
      <c r="C12" s="29" t="s">
        <v>281</v>
      </c>
      <c r="D12" s="30" t="s">
        <v>282</v>
      </c>
      <c r="E12" s="29" t="s">
        <v>291</v>
      </c>
      <c r="F12" s="29" t="s">
        <v>299</v>
      </c>
    </row>
    <row r="13" spans="1:7" ht="65" customHeight="1" x14ac:dyDescent="0.2">
      <c r="A13" s="25" t="s">
        <v>300</v>
      </c>
      <c r="B13" s="26" t="s">
        <v>301</v>
      </c>
      <c r="C13" s="26" t="s">
        <v>281</v>
      </c>
      <c r="D13" s="27" t="s">
        <v>282</v>
      </c>
      <c r="E13" s="26" t="s">
        <v>291</v>
      </c>
      <c r="F13" s="26" t="s">
        <v>302</v>
      </c>
    </row>
    <row r="14" spans="1:7" ht="65" customHeight="1" x14ac:dyDescent="0.2">
      <c r="A14" s="28" t="s">
        <v>303</v>
      </c>
      <c r="B14" s="29" t="s">
        <v>304</v>
      </c>
      <c r="C14" s="29" t="s">
        <v>281</v>
      </c>
      <c r="D14" s="30" t="s">
        <v>282</v>
      </c>
      <c r="E14" s="29" t="s">
        <v>291</v>
      </c>
      <c r="F14" s="29" t="s">
        <v>305</v>
      </c>
    </row>
    <row r="15" spans="1:7" ht="65" customHeight="1" x14ac:dyDescent="0.2">
      <c r="A15" s="25" t="s">
        <v>306</v>
      </c>
      <c r="B15" s="26" t="s">
        <v>307</v>
      </c>
      <c r="C15" s="26" t="s">
        <v>281</v>
      </c>
      <c r="D15" s="31" t="s">
        <v>290</v>
      </c>
      <c r="E15" s="26" t="s">
        <v>291</v>
      </c>
      <c r="F15" s="26" t="s">
        <v>308</v>
      </c>
    </row>
    <row r="17" spans="1:7" ht="22" customHeight="1" x14ac:dyDescent="0.2">
      <c r="A17" s="89" t="s">
        <v>309</v>
      </c>
      <c r="B17" s="76"/>
      <c r="C17" s="76"/>
      <c r="D17" s="76"/>
      <c r="E17" s="76"/>
      <c r="F17" s="76"/>
      <c r="G17" s="76"/>
    </row>
    <row r="18" spans="1:7" ht="16" customHeight="1" x14ac:dyDescent="0.2">
      <c r="A18" s="6" t="s">
        <v>274</v>
      </c>
      <c r="B18" s="6" t="s">
        <v>275</v>
      </c>
      <c r="C18" s="6" t="s">
        <v>276</v>
      </c>
      <c r="D18" s="6" t="s">
        <v>106</v>
      </c>
      <c r="E18" s="6" t="s">
        <v>277</v>
      </c>
      <c r="F18" s="6" t="s">
        <v>278</v>
      </c>
    </row>
    <row r="19" spans="1:7" ht="65" customHeight="1" x14ac:dyDescent="0.2">
      <c r="A19" s="25" t="s">
        <v>310</v>
      </c>
      <c r="B19" s="26" t="s">
        <v>311</v>
      </c>
      <c r="C19" s="26" t="s">
        <v>281</v>
      </c>
      <c r="D19" s="27" t="s">
        <v>282</v>
      </c>
      <c r="E19" s="26" t="s">
        <v>312</v>
      </c>
      <c r="F19" s="26" t="s">
        <v>313</v>
      </c>
    </row>
    <row r="20" spans="1:7" ht="65" customHeight="1" x14ac:dyDescent="0.2">
      <c r="A20" s="28" t="s">
        <v>314</v>
      </c>
      <c r="B20" s="29" t="s">
        <v>315</v>
      </c>
      <c r="C20" s="29" t="s">
        <v>281</v>
      </c>
      <c r="D20" s="30" t="s">
        <v>282</v>
      </c>
      <c r="E20" s="29" t="s">
        <v>312</v>
      </c>
      <c r="F20" s="29" t="s">
        <v>316</v>
      </c>
    </row>
    <row r="21" spans="1:7" ht="65" customHeight="1" x14ac:dyDescent="0.2">
      <c r="A21" s="25" t="s">
        <v>317</v>
      </c>
      <c r="B21" s="26" t="s">
        <v>318</v>
      </c>
      <c r="C21" s="26" t="s">
        <v>281</v>
      </c>
      <c r="D21" s="27" t="s">
        <v>282</v>
      </c>
      <c r="E21" s="26" t="s">
        <v>312</v>
      </c>
      <c r="F21" s="26" t="s">
        <v>319</v>
      </c>
    </row>
    <row r="22" spans="1:7" ht="65" customHeight="1" x14ac:dyDescent="0.2">
      <c r="A22" s="28" t="s">
        <v>320</v>
      </c>
      <c r="B22" s="29" t="s">
        <v>321</v>
      </c>
      <c r="C22" s="29" t="s">
        <v>281</v>
      </c>
      <c r="D22" s="30" t="s">
        <v>282</v>
      </c>
      <c r="E22" s="29" t="s">
        <v>312</v>
      </c>
      <c r="F22" s="29" t="s">
        <v>322</v>
      </c>
    </row>
    <row r="23" spans="1:7" ht="65" customHeight="1" x14ac:dyDescent="0.2">
      <c r="A23" s="25" t="s">
        <v>323</v>
      </c>
      <c r="B23" s="26" t="s">
        <v>324</v>
      </c>
      <c r="C23" s="26" t="s">
        <v>281</v>
      </c>
      <c r="D23" s="31" t="s">
        <v>290</v>
      </c>
      <c r="E23" s="26" t="s">
        <v>312</v>
      </c>
      <c r="F23" s="26" t="s">
        <v>325</v>
      </c>
    </row>
    <row r="25" spans="1:7" ht="22" customHeight="1" x14ac:dyDescent="0.2">
      <c r="A25" s="87" t="s">
        <v>326</v>
      </c>
      <c r="B25" s="76"/>
      <c r="C25" s="76"/>
      <c r="D25" s="76"/>
      <c r="E25" s="76"/>
      <c r="F25" s="76"/>
      <c r="G25" s="76"/>
    </row>
    <row r="26" spans="1:7" ht="16" customHeight="1" x14ac:dyDescent="0.2">
      <c r="A26" s="6" t="s">
        <v>274</v>
      </c>
      <c r="B26" s="6" t="s">
        <v>275</v>
      </c>
      <c r="C26" s="6" t="s">
        <v>276</v>
      </c>
      <c r="D26" s="6" t="s">
        <v>106</v>
      </c>
      <c r="E26" s="6" t="s">
        <v>277</v>
      </c>
      <c r="F26" s="6" t="s">
        <v>278</v>
      </c>
    </row>
    <row r="27" spans="1:7" ht="65" customHeight="1" x14ac:dyDescent="0.2">
      <c r="A27" s="25" t="s">
        <v>327</v>
      </c>
      <c r="B27" s="26" t="s">
        <v>328</v>
      </c>
      <c r="C27" s="26" t="s">
        <v>281</v>
      </c>
      <c r="D27" s="27" t="s">
        <v>282</v>
      </c>
      <c r="E27" s="26" t="s">
        <v>329</v>
      </c>
      <c r="F27" s="26" t="s">
        <v>330</v>
      </c>
    </row>
    <row r="28" spans="1:7" ht="65" customHeight="1" x14ac:dyDescent="0.2">
      <c r="A28" s="28" t="s">
        <v>331</v>
      </c>
      <c r="B28" s="29" t="s">
        <v>332</v>
      </c>
      <c r="C28" s="29" t="s">
        <v>281</v>
      </c>
      <c r="D28" s="30" t="s">
        <v>282</v>
      </c>
      <c r="E28" s="29" t="s">
        <v>329</v>
      </c>
      <c r="F28" s="29" t="s">
        <v>333</v>
      </c>
    </row>
    <row r="29" spans="1:7" ht="65" customHeight="1" x14ac:dyDescent="0.2">
      <c r="A29" s="25" t="s">
        <v>334</v>
      </c>
      <c r="B29" s="26" t="s">
        <v>335</v>
      </c>
      <c r="C29" s="26" t="s">
        <v>281</v>
      </c>
      <c r="D29" s="31" t="s">
        <v>290</v>
      </c>
      <c r="E29" s="26" t="s">
        <v>329</v>
      </c>
      <c r="F29" s="26" t="s">
        <v>336</v>
      </c>
    </row>
    <row r="30" spans="1:7" ht="65" customHeight="1" x14ac:dyDescent="0.2">
      <c r="A30" s="28" t="s">
        <v>337</v>
      </c>
      <c r="B30" s="29" t="s">
        <v>338</v>
      </c>
      <c r="C30" s="29" t="s">
        <v>281</v>
      </c>
      <c r="D30" s="30" t="s">
        <v>282</v>
      </c>
      <c r="E30" s="29" t="s">
        <v>329</v>
      </c>
      <c r="F30" s="29" t="s">
        <v>339</v>
      </c>
    </row>
    <row r="31" spans="1:7" ht="65" customHeight="1" x14ac:dyDescent="0.2">
      <c r="A31" s="25" t="s">
        <v>340</v>
      </c>
      <c r="B31" s="26" t="s">
        <v>341</v>
      </c>
      <c r="C31" s="26" t="s">
        <v>281</v>
      </c>
      <c r="D31" s="27" t="s">
        <v>282</v>
      </c>
      <c r="E31" s="26" t="s">
        <v>329</v>
      </c>
      <c r="F31" s="26" t="s">
        <v>342</v>
      </c>
    </row>
    <row r="33" spans="1:7" ht="22" customHeight="1" x14ac:dyDescent="0.2">
      <c r="A33" s="88" t="s">
        <v>343</v>
      </c>
      <c r="B33" s="76"/>
      <c r="C33" s="76"/>
      <c r="D33" s="76"/>
      <c r="E33" s="76"/>
      <c r="F33" s="76"/>
      <c r="G33" s="76"/>
    </row>
    <row r="34" spans="1:7" ht="16" customHeight="1" x14ac:dyDescent="0.2">
      <c r="A34" s="6" t="s">
        <v>274</v>
      </c>
      <c r="B34" s="6" t="s">
        <v>275</v>
      </c>
      <c r="C34" s="6" t="s">
        <v>276</v>
      </c>
      <c r="D34" s="6" t="s">
        <v>106</v>
      </c>
      <c r="E34" s="6" t="s">
        <v>277</v>
      </c>
      <c r="F34" s="6" t="s">
        <v>278</v>
      </c>
    </row>
    <row r="35" spans="1:7" ht="65" customHeight="1" x14ac:dyDescent="0.2">
      <c r="A35" s="25" t="s">
        <v>344</v>
      </c>
      <c r="B35" s="26" t="s">
        <v>345</v>
      </c>
      <c r="C35" s="26" t="s">
        <v>281</v>
      </c>
      <c r="D35" s="27" t="s">
        <v>282</v>
      </c>
      <c r="E35" s="26" t="s">
        <v>291</v>
      </c>
      <c r="F35" s="26" t="s">
        <v>346</v>
      </c>
    </row>
    <row r="36" spans="1:7" ht="65" customHeight="1" x14ac:dyDescent="0.2">
      <c r="A36" s="28" t="s">
        <v>347</v>
      </c>
      <c r="B36" s="29" t="s">
        <v>348</v>
      </c>
      <c r="C36" s="29" t="s">
        <v>281</v>
      </c>
      <c r="D36" s="32" t="s">
        <v>290</v>
      </c>
      <c r="E36" s="29" t="s">
        <v>312</v>
      </c>
      <c r="F36" s="29" t="s">
        <v>349</v>
      </c>
    </row>
    <row r="37" spans="1:7" ht="65" customHeight="1" x14ac:dyDescent="0.2">
      <c r="A37" s="25" t="s">
        <v>350</v>
      </c>
      <c r="B37" s="26" t="s">
        <v>351</v>
      </c>
      <c r="C37" s="26" t="s">
        <v>281</v>
      </c>
      <c r="D37" s="31" t="s">
        <v>290</v>
      </c>
      <c r="E37" s="26" t="s">
        <v>312</v>
      </c>
      <c r="F37" s="26" t="s">
        <v>352</v>
      </c>
    </row>
    <row r="39" spans="1:7" ht="22" customHeight="1" x14ac:dyDescent="0.2">
      <c r="A39" s="90" t="s">
        <v>353</v>
      </c>
      <c r="B39" s="76"/>
      <c r="C39" s="76"/>
      <c r="D39" s="76"/>
      <c r="E39" s="76"/>
      <c r="F39" s="76"/>
      <c r="G39" s="76"/>
    </row>
    <row r="40" spans="1:7" ht="16" customHeight="1" x14ac:dyDescent="0.2">
      <c r="A40" s="6" t="s">
        <v>274</v>
      </c>
      <c r="B40" s="6" t="s">
        <v>275</v>
      </c>
      <c r="C40" s="6" t="s">
        <v>276</v>
      </c>
      <c r="D40" s="6" t="s">
        <v>106</v>
      </c>
      <c r="E40" s="6" t="s">
        <v>277</v>
      </c>
      <c r="F40" s="6" t="s">
        <v>278</v>
      </c>
    </row>
    <row r="41" spans="1:7" ht="65" customHeight="1" x14ac:dyDescent="0.2">
      <c r="A41" s="25" t="s">
        <v>354</v>
      </c>
      <c r="B41" s="26" t="s">
        <v>355</v>
      </c>
      <c r="C41" s="26" t="s">
        <v>281</v>
      </c>
      <c r="D41" s="31" t="s">
        <v>290</v>
      </c>
      <c r="E41" s="26" t="s">
        <v>312</v>
      </c>
      <c r="F41" s="26" t="s">
        <v>356</v>
      </c>
    </row>
    <row r="42" spans="1:7" ht="65" customHeight="1" x14ac:dyDescent="0.2">
      <c r="A42" s="28" t="s">
        <v>357</v>
      </c>
      <c r="B42" s="29" t="s">
        <v>358</v>
      </c>
      <c r="C42" s="29" t="s">
        <v>281</v>
      </c>
      <c r="D42" s="32" t="s">
        <v>290</v>
      </c>
      <c r="E42" s="29" t="s">
        <v>312</v>
      </c>
      <c r="F42" s="29" t="s">
        <v>359</v>
      </c>
    </row>
    <row r="43" spans="1:7" ht="65" customHeight="1" x14ac:dyDescent="0.2">
      <c r="A43" s="25" t="s">
        <v>360</v>
      </c>
      <c r="B43" s="26" t="s">
        <v>361</v>
      </c>
      <c r="C43" s="26" t="s">
        <v>281</v>
      </c>
      <c r="D43" s="31" t="s">
        <v>290</v>
      </c>
      <c r="E43" s="26" t="s">
        <v>329</v>
      </c>
      <c r="F43" s="26" t="s">
        <v>362</v>
      </c>
    </row>
    <row r="45" spans="1:7" ht="22" customHeight="1" x14ac:dyDescent="0.2">
      <c r="A45" s="92" t="s">
        <v>363</v>
      </c>
      <c r="B45" s="76"/>
      <c r="C45" s="76"/>
      <c r="D45" s="76"/>
      <c r="E45" s="76"/>
      <c r="F45" s="76"/>
      <c r="G45" s="76"/>
    </row>
    <row r="46" spans="1:7" ht="16" customHeight="1" x14ac:dyDescent="0.2">
      <c r="A46" s="6" t="s">
        <v>274</v>
      </c>
      <c r="B46" s="6" t="s">
        <v>275</v>
      </c>
      <c r="C46" s="6" t="s">
        <v>276</v>
      </c>
      <c r="D46" s="6" t="s">
        <v>106</v>
      </c>
      <c r="E46" s="6" t="s">
        <v>277</v>
      </c>
      <c r="F46" s="6" t="s">
        <v>278</v>
      </c>
    </row>
    <row r="47" spans="1:7" ht="65" customHeight="1" x14ac:dyDescent="0.2">
      <c r="A47" s="25" t="s">
        <v>364</v>
      </c>
      <c r="B47" s="26" t="s">
        <v>365</v>
      </c>
      <c r="C47" s="26" t="s">
        <v>256</v>
      </c>
      <c r="D47" s="27" t="s">
        <v>282</v>
      </c>
      <c r="E47" s="26" t="s">
        <v>366</v>
      </c>
      <c r="F47" s="26" t="s">
        <v>367</v>
      </c>
    </row>
    <row r="48" spans="1:7" ht="65" customHeight="1" x14ac:dyDescent="0.2">
      <c r="A48" s="28" t="s">
        <v>368</v>
      </c>
      <c r="B48" s="29" t="s">
        <v>369</v>
      </c>
      <c r="C48" s="29" t="s">
        <v>370</v>
      </c>
      <c r="D48" s="33" t="s">
        <v>371</v>
      </c>
      <c r="E48" s="29" t="s">
        <v>291</v>
      </c>
      <c r="F48" s="29" t="s">
        <v>372</v>
      </c>
    </row>
    <row r="51" spans="1:7" ht="22" customHeight="1" x14ac:dyDescent="0.2">
      <c r="A51" s="78" t="s">
        <v>373</v>
      </c>
      <c r="B51" s="76"/>
      <c r="C51" s="76"/>
      <c r="D51" s="76"/>
      <c r="E51" s="76"/>
      <c r="F51" s="76"/>
      <c r="G51" s="76"/>
    </row>
    <row r="52" spans="1:7" ht="20" customHeight="1" x14ac:dyDescent="0.2">
      <c r="A52" s="91" t="s">
        <v>374</v>
      </c>
      <c r="B52" s="76"/>
      <c r="C52" s="76"/>
      <c r="D52" s="76"/>
      <c r="E52" s="76"/>
      <c r="F52" s="76"/>
      <c r="G52" s="76"/>
    </row>
    <row r="53" spans="1:7" ht="20" customHeight="1" x14ac:dyDescent="0.2">
      <c r="A53" s="91" t="s">
        <v>375</v>
      </c>
      <c r="B53" s="76"/>
      <c r="C53" s="76"/>
      <c r="D53" s="76"/>
      <c r="E53" s="76"/>
      <c r="F53" s="76"/>
      <c r="G53" s="76"/>
    </row>
    <row r="54" spans="1:7" ht="20" customHeight="1" x14ac:dyDescent="0.2">
      <c r="A54" s="91" t="s">
        <v>376</v>
      </c>
      <c r="B54" s="76"/>
      <c r="C54" s="76"/>
      <c r="D54" s="76"/>
      <c r="E54" s="76"/>
      <c r="F54" s="76"/>
      <c r="G54" s="76"/>
    </row>
    <row r="55" spans="1:7" ht="20" customHeight="1" x14ac:dyDescent="0.2">
      <c r="A55" s="91" t="s">
        <v>377</v>
      </c>
      <c r="B55" s="76"/>
      <c r="C55" s="76"/>
      <c r="D55" s="76"/>
      <c r="E55" s="76"/>
      <c r="F55" s="76"/>
      <c r="G55" s="76"/>
    </row>
    <row r="56" spans="1:7" ht="20" customHeight="1" x14ac:dyDescent="0.2">
      <c r="A56" s="91" t="s">
        <v>378</v>
      </c>
      <c r="B56" s="76"/>
      <c r="C56" s="76"/>
      <c r="D56" s="76"/>
      <c r="E56" s="76"/>
      <c r="F56" s="76"/>
      <c r="G56" s="76"/>
    </row>
    <row r="57" spans="1:7" ht="20" customHeight="1" x14ac:dyDescent="0.2">
      <c r="A57" s="91" t="s">
        <v>379</v>
      </c>
      <c r="B57" s="76"/>
      <c r="C57" s="76"/>
      <c r="D57" s="76"/>
      <c r="E57" s="76"/>
      <c r="F57" s="76"/>
      <c r="G57" s="76"/>
    </row>
    <row r="58" spans="1:7" ht="20" customHeight="1" x14ac:dyDescent="0.2">
      <c r="A58" s="91" t="s">
        <v>380</v>
      </c>
      <c r="B58" s="76"/>
      <c r="C58" s="76"/>
      <c r="D58" s="76"/>
      <c r="E58" s="76"/>
      <c r="F58" s="76"/>
      <c r="G58" s="76"/>
    </row>
    <row r="59" spans="1:7" ht="20" customHeight="1" x14ac:dyDescent="0.2">
      <c r="A59" s="91" t="s">
        <v>381</v>
      </c>
      <c r="B59" s="76"/>
      <c r="C59" s="76"/>
      <c r="D59" s="76"/>
      <c r="E59" s="76"/>
      <c r="F59" s="76"/>
      <c r="G59" s="76"/>
    </row>
    <row r="60" spans="1:7" ht="20" customHeight="1" x14ac:dyDescent="0.2">
      <c r="A60" s="91" t="s">
        <v>382</v>
      </c>
      <c r="B60" s="76"/>
      <c r="C60" s="76"/>
      <c r="D60" s="76"/>
      <c r="E60" s="76"/>
      <c r="F60" s="76"/>
      <c r="G60" s="76"/>
    </row>
    <row r="61" spans="1:7" ht="20" customHeight="1" x14ac:dyDescent="0.2">
      <c r="A61" s="91" t="s">
        <v>383</v>
      </c>
      <c r="B61" s="76"/>
      <c r="C61" s="76"/>
      <c r="D61" s="76"/>
      <c r="E61" s="76"/>
      <c r="F61" s="76"/>
      <c r="G61" s="76"/>
    </row>
  </sheetData>
  <mergeCells count="19">
    <mergeCell ref="A1:G1"/>
    <mergeCell ref="A54:G54"/>
    <mergeCell ref="A25:G25"/>
    <mergeCell ref="A56:G56"/>
    <mergeCell ref="A3:G3"/>
    <mergeCell ref="A55:G55"/>
    <mergeCell ref="A33:G33"/>
    <mergeCell ref="A17:G17"/>
    <mergeCell ref="A9:G9"/>
    <mergeCell ref="A39:G39"/>
    <mergeCell ref="A59:G59"/>
    <mergeCell ref="A60:G60"/>
    <mergeCell ref="A51:G51"/>
    <mergeCell ref="A45:G45"/>
    <mergeCell ref="A61:G61"/>
    <mergeCell ref="A57:G57"/>
    <mergeCell ref="A53:G53"/>
    <mergeCell ref="A52:G52"/>
    <mergeCell ref="A58:G5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3"/>
  <sheetViews>
    <sheetView showGridLines="0" workbookViewId="0"/>
  </sheetViews>
  <sheetFormatPr baseColWidth="10" defaultColWidth="8.83203125" defaultRowHeight="15" x14ac:dyDescent="0.2"/>
  <cols>
    <col min="1" max="1" width="20" customWidth="1"/>
    <col min="2" max="2" width="48" customWidth="1"/>
    <col min="3" max="3" width="18" customWidth="1"/>
    <col min="4" max="4" width="12" customWidth="1"/>
    <col min="5" max="5" width="45" customWidth="1"/>
    <col min="6" max="6" width="10" customWidth="1"/>
  </cols>
  <sheetData>
    <row r="1" spans="1:6" ht="35" customHeight="1" x14ac:dyDescent="0.2">
      <c r="A1" s="95" t="s">
        <v>384</v>
      </c>
      <c r="B1" s="76"/>
      <c r="C1" s="76"/>
      <c r="D1" s="76"/>
      <c r="E1" s="76"/>
      <c r="F1" s="76"/>
    </row>
    <row r="3" spans="1:6" ht="18" customHeight="1" x14ac:dyDescent="0.2">
      <c r="A3" s="34" t="s">
        <v>274</v>
      </c>
      <c r="B3" s="34" t="s">
        <v>385</v>
      </c>
      <c r="C3" s="34" t="s">
        <v>276</v>
      </c>
      <c r="D3" s="34" t="s">
        <v>106</v>
      </c>
      <c r="E3" s="34" t="s">
        <v>278</v>
      </c>
    </row>
    <row r="4" spans="1:6" ht="55" customHeight="1" x14ac:dyDescent="0.2">
      <c r="A4" s="35" t="s">
        <v>386</v>
      </c>
      <c r="B4" s="36" t="s">
        <v>387</v>
      </c>
      <c r="C4" s="36" t="s">
        <v>281</v>
      </c>
      <c r="D4" s="37" t="s">
        <v>282</v>
      </c>
      <c r="E4" s="36" t="s">
        <v>388</v>
      </c>
    </row>
    <row r="5" spans="1:6" ht="55" customHeight="1" x14ac:dyDescent="0.2">
      <c r="A5" s="23" t="s">
        <v>389</v>
      </c>
      <c r="B5" s="24" t="s">
        <v>390</v>
      </c>
      <c r="C5" s="24" t="s">
        <v>391</v>
      </c>
      <c r="D5" s="38" t="s">
        <v>282</v>
      </c>
      <c r="E5" s="24" t="s">
        <v>392</v>
      </c>
    </row>
    <row r="6" spans="1:6" ht="55" customHeight="1" x14ac:dyDescent="0.2">
      <c r="A6" s="35" t="s">
        <v>393</v>
      </c>
      <c r="B6" s="36" t="s">
        <v>394</v>
      </c>
      <c r="C6" s="36" t="s">
        <v>281</v>
      </c>
      <c r="D6" s="37" t="s">
        <v>282</v>
      </c>
      <c r="E6" s="36" t="s">
        <v>395</v>
      </c>
    </row>
    <row r="7" spans="1:6" ht="55" customHeight="1" x14ac:dyDescent="0.2">
      <c r="A7" s="23" t="s">
        <v>396</v>
      </c>
      <c r="B7" s="24" t="s">
        <v>397</v>
      </c>
      <c r="C7" s="24" t="s">
        <v>281</v>
      </c>
      <c r="D7" s="39" t="s">
        <v>290</v>
      </c>
      <c r="E7" s="24" t="s">
        <v>398</v>
      </c>
    </row>
    <row r="8" spans="1:6" ht="55" customHeight="1" x14ac:dyDescent="0.2">
      <c r="A8" s="35" t="s">
        <v>399</v>
      </c>
      <c r="B8" s="36" t="s">
        <v>400</v>
      </c>
      <c r="C8" s="36" t="s">
        <v>281</v>
      </c>
      <c r="D8" s="37" t="s">
        <v>282</v>
      </c>
      <c r="E8" s="36" t="s">
        <v>401</v>
      </c>
    </row>
    <row r="9" spans="1:6" ht="55" customHeight="1" x14ac:dyDescent="0.2">
      <c r="A9" s="23" t="s">
        <v>402</v>
      </c>
      <c r="B9" s="24" t="s">
        <v>403</v>
      </c>
      <c r="C9" s="24" t="s">
        <v>281</v>
      </c>
      <c r="D9" s="39" t="s">
        <v>290</v>
      </c>
      <c r="E9" s="24" t="s">
        <v>404</v>
      </c>
    </row>
    <row r="10" spans="1:6" ht="55" customHeight="1" x14ac:dyDescent="0.2">
      <c r="A10" s="35" t="s">
        <v>405</v>
      </c>
      <c r="B10" s="36" t="s">
        <v>406</v>
      </c>
      <c r="C10" s="36" t="s">
        <v>281</v>
      </c>
      <c r="D10" s="40" t="s">
        <v>290</v>
      </c>
      <c r="E10" s="36" t="s">
        <v>407</v>
      </c>
    </row>
    <row r="11" spans="1:6" ht="55" customHeight="1" x14ac:dyDescent="0.2">
      <c r="A11" s="23" t="s">
        <v>408</v>
      </c>
      <c r="B11" s="24" t="s">
        <v>409</v>
      </c>
      <c r="C11" s="24" t="s">
        <v>281</v>
      </c>
      <c r="D11" s="39" t="s">
        <v>290</v>
      </c>
      <c r="E11" s="24" t="s">
        <v>410</v>
      </c>
    </row>
    <row r="12" spans="1:6" ht="55" customHeight="1" x14ac:dyDescent="0.2">
      <c r="A12" s="35" t="s">
        <v>411</v>
      </c>
      <c r="B12" s="36" t="s">
        <v>412</v>
      </c>
      <c r="C12" s="36" t="s">
        <v>413</v>
      </c>
      <c r="D12" s="40" t="s">
        <v>290</v>
      </c>
      <c r="E12" s="36" t="s">
        <v>414</v>
      </c>
    </row>
    <row r="13" spans="1:6" ht="55" customHeight="1" x14ac:dyDescent="0.2">
      <c r="A13" s="23" t="s">
        <v>415</v>
      </c>
      <c r="B13" s="24" t="s">
        <v>416</v>
      </c>
      <c r="C13" s="24" t="s">
        <v>370</v>
      </c>
      <c r="D13" s="38" t="s">
        <v>282</v>
      </c>
      <c r="E13" s="24" t="s">
        <v>417</v>
      </c>
    </row>
    <row r="16" spans="1:6" ht="22" customHeight="1" x14ac:dyDescent="0.2">
      <c r="A16" s="89" t="s">
        <v>418</v>
      </c>
      <c r="B16" s="76"/>
      <c r="C16" s="76"/>
      <c r="D16" s="76"/>
      <c r="E16" s="76"/>
      <c r="F16" s="76"/>
    </row>
    <row r="17" spans="1:6" ht="20" customHeight="1" x14ac:dyDescent="0.2">
      <c r="A17" s="94" t="s">
        <v>419</v>
      </c>
      <c r="B17" s="76"/>
      <c r="C17" s="76"/>
      <c r="D17" s="76"/>
      <c r="E17" s="76"/>
      <c r="F17" s="76"/>
    </row>
    <row r="18" spans="1:6" ht="20" customHeight="1" x14ac:dyDescent="0.2">
      <c r="A18" s="94" t="s">
        <v>420</v>
      </c>
      <c r="B18" s="76"/>
      <c r="C18" s="76"/>
      <c r="D18" s="76"/>
      <c r="E18" s="76"/>
      <c r="F18" s="76"/>
    </row>
    <row r="19" spans="1:6" ht="20" customHeight="1" x14ac:dyDescent="0.2">
      <c r="A19" s="94" t="s">
        <v>421</v>
      </c>
      <c r="B19" s="76"/>
      <c r="C19" s="76"/>
      <c r="D19" s="76"/>
      <c r="E19" s="76"/>
      <c r="F19" s="76"/>
    </row>
    <row r="20" spans="1:6" ht="20" customHeight="1" x14ac:dyDescent="0.2">
      <c r="A20" s="94" t="s">
        <v>422</v>
      </c>
      <c r="B20" s="76"/>
      <c r="C20" s="76"/>
      <c r="D20" s="76"/>
      <c r="E20" s="76"/>
      <c r="F20" s="76"/>
    </row>
    <row r="21" spans="1:6" ht="20" customHeight="1" x14ac:dyDescent="0.2">
      <c r="A21" s="94" t="s">
        <v>423</v>
      </c>
      <c r="B21" s="76"/>
      <c r="C21" s="76"/>
      <c r="D21" s="76"/>
      <c r="E21" s="76"/>
      <c r="F21" s="76"/>
    </row>
    <row r="22" spans="1:6" ht="20" customHeight="1" x14ac:dyDescent="0.2">
      <c r="A22" s="94" t="s">
        <v>424</v>
      </c>
      <c r="B22" s="76"/>
      <c r="C22" s="76"/>
      <c r="D22" s="76"/>
      <c r="E22" s="76"/>
      <c r="F22" s="76"/>
    </row>
    <row r="23" spans="1:6" ht="20" customHeight="1" x14ac:dyDescent="0.2">
      <c r="A23" s="94" t="s">
        <v>425</v>
      </c>
      <c r="B23" s="76"/>
      <c r="C23" s="76"/>
      <c r="D23" s="76"/>
      <c r="E23" s="76"/>
      <c r="F23" s="76"/>
    </row>
  </sheetData>
  <mergeCells count="9">
    <mergeCell ref="A16:F16"/>
    <mergeCell ref="A19:F19"/>
    <mergeCell ref="A1:F1"/>
    <mergeCell ref="A23:F23"/>
    <mergeCell ref="A22:F22"/>
    <mergeCell ref="A17:F17"/>
    <mergeCell ref="A18:F18"/>
    <mergeCell ref="A20:F20"/>
    <mergeCell ref="A21:F2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8"/>
  <sheetViews>
    <sheetView showGridLines="0" workbookViewId="0"/>
  </sheetViews>
  <sheetFormatPr baseColWidth="10" defaultColWidth="8.83203125" defaultRowHeight="15" x14ac:dyDescent="0.2"/>
  <cols>
    <col min="1" max="1" width="22" customWidth="1"/>
    <col min="2" max="2" width="58" customWidth="1"/>
    <col min="3" max="3" width="25" customWidth="1"/>
    <col min="4" max="4" width="15" customWidth="1"/>
  </cols>
  <sheetData>
    <row r="1" spans="1:4" ht="35" customHeight="1" x14ac:dyDescent="0.2">
      <c r="A1" s="96" t="s">
        <v>426</v>
      </c>
      <c r="B1" s="76"/>
      <c r="C1" s="76"/>
      <c r="D1" s="76"/>
    </row>
    <row r="3" spans="1:4" ht="18" customHeight="1" x14ac:dyDescent="0.2">
      <c r="A3" s="41" t="s">
        <v>274</v>
      </c>
      <c r="B3" s="41" t="s">
        <v>275</v>
      </c>
      <c r="C3" s="41" t="s">
        <v>276</v>
      </c>
    </row>
    <row r="4" spans="1:4" ht="45" customHeight="1" x14ac:dyDescent="0.2">
      <c r="A4" s="42" t="s">
        <v>427</v>
      </c>
      <c r="B4" s="43" t="s">
        <v>428</v>
      </c>
      <c r="C4" s="43" t="s">
        <v>429</v>
      </c>
    </row>
    <row r="5" spans="1:4" ht="45" customHeight="1" x14ac:dyDescent="0.2">
      <c r="A5" s="44" t="s">
        <v>430</v>
      </c>
      <c r="B5" s="24" t="s">
        <v>431</v>
      </c>
      <c r="C5" s="24" t="s">
        <v>432</v>
      </c>
    </row>
    <row r="6" spans="1:4" ht="45" customHeight="1" x14ac:dyDescent="0.2">
      <c r="A6" s="42" t="s">
        <v>433</v>
      </c>
      <c r="B6" s="43" t="s">
        <v>434</v>
      </c>
      <c r="C6" s="43" t="s">
        <v>435</v>
      </c>
    </row>
    <row r="7" spans="1:4" ht="45" customHeight="1" x14ac:dyDescent="0.2">
      <c r="A7" s="44" t="s">
        <v>436</v>
      </c>
      <c r="B7" s="24" t="s">
        <v>437</v>
      </c>
      <c r="C7" s="24" t="s">
        <v>438</v>
      </c>
    </row>
    <row r="8" spans="1:4" ht="45" customHeight="1" x14ac:dyDescent="0.2">
      <c r="A8" s="42" t="s">
        <v>439</v>
      </c>
      <c r="B8" s="43" t="s">
        <v>440</v>
      </c>
      <c r="C8" s="43" t="s">
        <v>441</v>
      </c>
    </row>
    <row r="9" spans="1:4" ht="45" customHeight="1" x14ac:dyDescent="0.2">
      <c r="A9" s="44" t="s">
        <v>442</v>
      </c>
      <c r="B9" s="24" t="s">
        <v>443</v>
      </c>
      <c r="C9" s="24" t="s">
        <v>444</v>
      </c>
    </row>
    <row r="10" spans="1:4" ht="45" customHeight="1" x14ac:dyDescent="0.2">
      <c r="A10" s="42" t="s">
        <v>445</v>
      </c>
      <c r="B10" s="43" t="s">
        <v>446</v>
      </c>
      <c r="C10" s="43" t="s">
        <v>447</v>
      </c>
    </row>
    <row r="11" spans="1:4" ht="45" customHeight="1" x14ac:dyDescent="0.2">
      <c r="A11" s="44" t="s">
        <v>448</v>
      </c>
      <c r="B11" s="24" t="s">
        <v>449</v>
      </c>
      <c r="C11" s="24" t="s">
        <v>435</v>
      </c>
    </row>
    <row r="14" spans="1:4" ht="22" customHeight="1" x14ac:dyDescent="0.2">
      <c r="A14" s="90" t="s">
        <v>450</v>
      </c>
      <c r="B14" s="76"/>
      <c r="C14" s="76"/>
      <c r="D14" s="76"/>
    </row>
    <row r="15" spans="1:4" ht="20" customHeight="1" x14ac:dyDescent="0.2">
      <c r="A15" s="97" t="s">
        <v>451</v>
      </c>
      <c r="B15" s="76"/>
      <c r="C15" s="76"/>
      <c r="D15" s="76"/>
    </row>
    <row r="16" spans="1:4" ht="20" customHeight="1" x14ac:dyDescent="0.2">
      <c r="A16" s="97" t="s">
        <v>452</v>
      </c>
      <c r="B16" s="76"/>
      <c r="C16" s="76"/>
      <c r="D16" s="76"/>
    </row>
    <row r="17" spans="1:4" ht="20" customHeight="1" x14ac:dyDescent="0.2">
      <c r="A17" s="97" t="s">
        <v>453</v>
      </c>
      <c r="B17" s="76"/>
      <c r="C17" s="76"/>
      <c r="D17" s="76"/>
    </row>
    <row r="18" spans="1:4" ht="20" customHeight="1" x14ac:dyDescent="0.2">
      <c r="A18" s="97" t="s">
        <v>454</v>
      </c>
      <c r="B18" s="76"/>
      <c r="C18" s="76"/>
      <c r="D18" s="76"/>
    </row>
  </sheetData>
  <mergeCells count="6">
    <mergeCell ref="A1:D1"/>
    <mergeCell ref="A17:D17"/>
    <mergeCell ref="A18:D18"/>
    <mergeCell ref="A15:D15"/>
    <mergeCell ref="A16:D16"/>
    <mergeCell ref="A14:D1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1"/>
  <sheetViews>
    <sheetView showGridLines="0" workbookViewId="0">
      <selection sqref="A1:F1"/>
    </sheetView>
  </sheetViews>
  <sheetFormatPr baseColWidth="10" defaultColWidth="8.83203125" defaultRowHeight="15" x14ac:dyDescent="0.2"/>
  <cols>
    <col min="1" max="1" width="28" customWidth="1"/>
    <col min="2" max="7" width="15" customWidth="1"/>
  </cols>
  <sheetData>
    <row r="1" spans="1:7" ht="35" customHeight="1" x14ac:dyDescent="0.2">
      <c r="A1" s="98" t="s">
        <v>455</v>
      </c>
      <c r="B1" s="76"/>
      <c r="C1" s="76"/>
      <c r="D1" s="76"/>
      <c r="E1" s="76"/>
      <c r="F1" s="76"/>
    </row>
    <row r="3" spans="1:7" ht="18" customHeight="1" x14ac:dyDescent="0.2">
      <c r="A3" s="45" t="s">
        <v>456</v>
      </c>
      <c r="B3" s="45" t="s">
        <v>457</v>
      </c>
      <c r="C3" s="45" t="s">
        <v>458</v>
      </c>
      <c r="D3" s="45" t="s">
        <v>459</v>
      </c>
      <c r="E3" s="45" t="s">
        <v>460</v>
      </c>
    </row>
    <row r="4" spans="1:7" ht="35" customHeight="1" x14ac:dyDescent="0.2">
      <c r="A4" s="46" t="s">
        <v>354</v>
      </c>
      <c r="B4" s="47" t="s">
        <v>461</v>
      </c>
      <c r="C4" s="47" t="s">
        <v>462</v>
      </c>
      <c r="D4" s="47" t="s">
        <v>463</v>
      </c>
      <c r="E4" s="47" t="s">
        <v>464</v>
      </c>
    </row>
    <row r="5" spans="1:7" ht="35" customHeight="1" x14ac:dyDescent="0.2">
      <c r="A5" s="39" t="s">
        <v>357</v>
      </c>
      <c r="B5" s="24" t="s">
        <v>461</v>
      </c>
      <c r="C5" s="24" t="s">
        <v>465</v>
      </c>
      <c r="D5" s="24" t="s">
        <v>466</v>
      </c>
      <c r="E5" s="24" t="s">
        <v>467</v>
      </c>
    </row>
    <row r="6" spans="1:7" ht="35" customHeight="1" x14ac:dyDescent="0.2">
      <c r="A6" s="46" t="s">
        <v>468</v>
      </c>
      <c r="B6" s="47" t="s">
        <v>461</v>
      </c>
      <c r="C6" s="47" t="s">
        <v>469</v>
      </c>
      <c r="D6" s="47" t="s">
        <v>470</v>
      </c>
      <c r="E6" s="47" t="s">
        <v>471</v>
      </c>
    </row>
    <row r="7" spans="1:7" ht="35" customHeight="1" x14ac:dyDescent="0.2">
      <c r="A7" s="39" t="s">
        <v>405</v>
      </c>
      <c r="B7" s="24" t="s">
        <v>115</v>
      </c>
      <c r="C7" s="24" t="s">
        <v>472</v>
      </c>
      <c r="D7" s="24" t="s">
        <v>473</v>
      </c>
      <c r="E7" s="24" t="s">
        <v>474</v>
      </c>
    </row>
    <row r="8" spans="1:7" ht="35" customHeight="1" x14ac:dyDescent="0.2">
      <c r="A8" s="46" t="s">
        <v>475</v>
      </c>
      <c r="B8" s="47" t="s">
        <v>115</v>
      </c>
      <c r="C8" s="47" t="s">
        <v>476</v>
      </c>
      <c r="D8" s="47" t="s">
        <v>477</v>
      </c>
      <c r="E8" s="47" t="s">
        <v>478</v>
      </c>
    </row>
    <row r="9" spans="1:7" ht="35" customHeight="1" x14ac:dyDescent="0.2">
      <c r="A9" s="39" t="s">
        <v>479</v>
      </c>
      <c r="B9" s="24" t="s">
        <v>115</v>
      </c>
      <c r="C9" s="24" t="s">
        <v>472</v>
      </c>
      <c r="D9" s="24" t="s">
        <v>480</v>
      </c>
      <c r="E9" s="24" t="s">
        <v>481</v>
      </c>
    </row>
    <row r="10" spans="1:7" ht="35" customHeight="1" x14ac:dyDescent="0.2">
      <c r="A10" s="46" t="s">
        <v>482</v>
      </c>
      <c r="B10" s="47" t="s">
        <v>483</v>
      </c>
      <c r="C10" s="47" t="s">
        <v>484</v>
      </c>
      <c r="D10" s="47" t="s">
        <v>485</v>
      </c>
      <c r="E10" s="47" t="s">
        <v>486</v>
      </c>
    </row>
    <row r="13" spans="1:7" ht="22" customHeight="1" x14ac:dyDescent="0.2">
      <c r="A13" s="78" t="s">
        <v>487</v>
      </c>
      <c r="B13" s="76"/>
      <c r="C13" s="76"/>
      <c r="D13" s="76"/>
      <c r="E13" s="76"/>
      <c r="F13" s="76"/>
      <c r="G13" s="76"/>
    </row>
    <row r="14" spans="1:7" ht="18" customHeight="1" x14ac:dyDescent="0.2">
      <c r="A14" s="6" t="s">
        <v>53</v>
      </c>
      <c r="B14" s="6" t="s">
        <v>488</v>
      </c>
      <c r="C14" s="6" t="s">
        <v>489</v>
      </c>
      <c r="D14" s="6" t="s">
        <v>490</v>
      </c>
      <c r="E14" s="6" t="s">
        <v>491</v>
      </c>
      <c r="F14" s="6" t="s">
        <v>492</v>
      </c>
      <c r="G14" s="6" t="s">
        <v>493</v>
      </c>
    </row>
    <row r="15" spans="1:7" ht="20" customHeight="1" x14ac:dyDescent="0.2">
      <c r="A15" s="48" t="s">
        <v>494</v>
      </c>
      <c r="B15" s="49">
        <v>500</v>
      </c>
      <c r="C15" s="49">
        <v>2000</v>
      </c>
      <c r="D15" s="49">
        <v>5000</v>
      </c>
      <c r="E15" s="49">
        <v>10000</v>
      </c>
      <c r="F15" s="49">
        <v>40000</v>
      </c>
      <c r="G15" s="49">
        <v>100000</v>
      </c>
    </row>
    <row r="16" spans="1:7" ht="20" customHeight="1" x14ac:dyDescent="0.2">
      <c r="A16" s="50" t="s">
        <v>495</v>
      </c>
      <c r="B16" s="51" t="str">
        <f t="shared" ref="B16:G16" ca="1" si="0">B16*0.3*3*1.5/1000*23</f>
        <v/>
      </c>
      <c r="C16" s="51" t="str">
        <f t="shared" ca="1" si="0"/>
        <v/>
      </c>
      <c r="D16" s="51" t="str">
        <f t="shared" ca="1" si="0"/>
        <v/>
      </c>
      <c r="E16" s="51" t="str">
        <f t="shared" ca="1" si="0"/>
        <v/>
      </c>
      <c r="F16" s="51" t="str">
        <f t="shared" ca="1" si="0"/>
        <v/>
      </c>
      <c r="G16" s="51" t="str">
        <f t="shared" ca="1" si="0"/>
        <v/>
      </c>
    </row>
    <row r="17" spans="1:7" ht="20" customHeight="1" x14ac:dyDescent="0.2">
      <c r="A17" s="48" t="s">
        <v>496</v>
      </c>
      <c r="B17" s="52" t="str">
        <f ca="1">B17*0.01*29</f>
        <v/>
      </c>
      <c r="C17" s="52" t="str">
        <f ca="1">C17*0.015*29</f>
        <v/>
      </c>
      <c r="D17" s="52" t="str">
        <f ca="1">D17*0.02*29</f>
        <v/>
      </c>
      <c r="E17" s="52" t="str">
        <f ca="1">E17*0.02*29</f>
        <v/>
      </c>
      <c r="F17" s="52" t="str">
        <f ca="1">F17*0.025*29</f>
        <v/>
      </c>
      <c r="G17" s="52" t="str">
        <f ca="1">G17*0.03*29</f>
        <v/>
      </c>
    </row>
    <row r="18" spans="1:7" ht="20" customHeight="1" x14ac:dyDescent="0.2">
      <c r="A18" s="50" t="s">
        <v>497</v>
      </c>
      <c r="B18" s="51" t="str">
        <f t="shared" ref="B18:G18" ca="1" si="1">B18*0.5*0.7/1000*23</f>
        <v/>
      </c>
      <c r="C18" s="51" t="str">
        <f t="shared" ca="1" si="1"/>
        <v/>
      </c>
      <c r="D18" s="51" t="str">
        <f t="shared" ca="1" si="1"/>
        <v/>
      </c>
      <c r="E18" s="51" t="str">
        <f t="shared" ca="1" si="1"/>
        <v/>
      </c>
      <c r="F18" s="51" t="str">
        <f t="shared" ca="1" si="1"/>
        <v/>
      </c>
      <c r="G18" s="51" t="str">
        <f t="shared" ca="1" si="1"/>
        <v/>
      </c>
    </row>
    <row r="19" spans="1:7" ht="20" customHeight="1" x14ac:dyDescent="0.2">
      <c r="A19" s="53" t="s">
        <v>498</v>
      </c>
      <c r="B19" s="54" t="str">
        <f t="shared" ref="B19:G19" ca="1" si="2">SUM(B16:B18)</f>
        <v/>
      </c>
      <c r="C19" s="54" t="str">
        <f t="shared" ca="1" si="2"/>
        <v/>
      </c>
      <c r="D19" s="54" t="str">
        <f t="shared" ca="1" si="2"/>
        <v/>
      </c>
      <c r="E19" s="54" t="str">
        <f t="shared" ca="1" si="2"/>
        <v/>
      </c>
      <c r="F19" s="54" t="str">
        <f t="shared" ca="1" si="2"/>
        <v/>
      </c>
      <c r="G19" s="54" t="str">
        <f t="shared" ca="1" si="2"/>
        <v/>
      </c>
    </row>
    <row r="20" spans="1:7" ht="20" customHeight="1" x14ac:dyDescent="0.2">
      <c r="A20" s="50" t="s">
        <v>499</v>
      </c>
      <c r="B20" s="51">
        <v>2000</v>
      </c>
      <c r="C20" s="51">
        <v>2500</v>
      </c>
      <c r="D20" s="51">
        <v>3000</v>
      </c>
      <c r="E20" s="51">
        <v>3500</v>
      </c>
      <c r="F20" s="51">
        <v>5000</v>
      </c>
      <c r="G20" s="51">
        <v>8000</v>
      </c>
    </row>
    <row r="21" spans="1:7" ht="20" customHeight="1" x14ac:dyDescent="0.2">
      <c r="A21" s="55" t="s">
        <v>500</v>
      </c>
      <c r="B21" s="56" t="str">
        <f t="shared" ref="B21:G21" ca="1" si="3">B19-B20</f>
        <v/>
      </c>
      <c r="C21" s="56" t="str">
        <f t="shared" ca="1" si="3"/>
        <v/>
      </c>
      <c r="D21" s="56" t="str">
        <f t="shared" ca="1" si="3"/>
        <v/>
      </c>
      <c r="E21" s="56" t="str">
        <f t="shared" ca="1" si="3"/>
        <v/>
      </c>
      <c r="F21" s="56" t="str">
        <f t="shared" ca="1" si="3"/>
        <v/>
      </c>
      <c r="G21" s="56" t="str">
        <f t="shared" ca="1" si="3"/>
        <v/>
      </c>
    </row>
  </sheetData>
  <mergeCells count="2">
    <mergeCell ref="A13:G13"/>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6"/>
  <sheetViews>
    <sheetView showGridLines="0" topLeftCell="A15" workbookViewId="0">
      <selection activeCell="C34" sqref="C34:E34"/>
    </sheetView>
  </sheetViews>
  <sheetFormatPr baseColWidth="10" defaultColWidth="8.83203125" defaultRowHeight="15" x14ac:dyDescent="0.2"/>
  <cols>
    <col min="1" max="1" width="25" customWidth="1"/>
    <col min="2" max="2" width="42" customWidth="1"/>
    <col min="3" max="3" width="14" customWidth="1"/>
    <col min="4" max="4" width="12" customWidth="1"/>
    <col min="5" max="5" width="14" customWidth="1"/>
  </cols>
  <sheetData>
    <row r="1" spans="1:5" ht="35" customHeight="1" x14ac:dyDescent="0.2">
      <c r="A1" s="102" t="s">
        <v>501</v>
      </c>
      <c r="B1" s="76"/>
      <c r="C1" s="76"/>
      <c r="D1" s="76"/>
      <c r="E1" s="76"/>
    </row>
    <row r="3" spans="1:5" ht="22" customHeight="1" x14ac:dyDescent="0.2">
      <c r="A3" s="87" t="s">
        <v>502</v>
      </c>
      <c r="B3" s="76"/>
      <c r="C3" s="76"/>
      <c r="D3" s="76"/>
      <c r="E3" s="76"/>
    </row>
    <row r="4" spans="1:5" ht="16" customHeight="1" x14ac:dyDescent="0.2">
      <c r="A4" s="6" t="s">
        <v>503</v>
      </c>
      <c r="B4" s="6" t="s">
        <v>275</v>
      </c>
      <c r="C4" s="6" t="s">
        <v>504</v>
      </c>
    </row>
    <row r="5" spans="1:5" ht="30" customHeight="1" x14ac:dyDescent="0.2">
      <c r="A5" s="2" t="s">
        <v>505</v>
      </c>
      <c r="B5" s="100" t="s">
        <v>506</v>
      </c>
      <c r="C5" s="82"/>
      <c r="D5" s="82"/>
      <c r="E5" s="57" t="s">
        <v>507</v>
      </c>
    </row>
    <row r="6" spans="1:5" ht="30" customHeight="1" x14ac:dyDescent="0.2">
      <c r="A6" s="4" t="s">
        <v>508</v>
      </c>
      <c r="B6" s="99" t="s">
        <v>509</v>
      </c>
      <c r="C6" s="82"/>
      <c r="D6" s="82"/>
      <c r="E6" s="58" t="s">
        <v>510</v>
      </c>
    </row>
    <row r="7" spans="1:5" ht="30" customHeight="1" x14ac:dyDescent="0.2">
      <c r="A7" s="2" t="s">
        <v>511</v>
      </c>
      <c r="B7" s="100" t="s">
        <v>512</v>
      </c>
      <c r="C7" s="82"/>
      <c r="D7" s="82"/>
      <c r="E7" s="57" t="s">
        <v>513</v>
      </c>
    </row>
    <row r="8" spans="1:5" ht="30" customHeight="1" x14ac:dyDescent="0.2">
      <c r="A8" s="4" t="s">
        <v>514</v>
      </c>
      <c r="B8" s="99" t="s">
        <v>515</v>
      </c>
      <c r="C8" s="82"/>
      <c r="D8" s="82"/>
      <c r="E8" s="58" t="s">
        <v>516</v>
      </c>
    </row>
    <row r="9" spans="1:5" ht="30" customHeight="1" x14ac:dyDescent="0.2">
      <c r="A9" s="2" t="s">
        <v>517</v>
      </c>
      <c r="B9" s="100" t="s">
        <v>518</v>
      </c>
      <c r="C9" s="82"/>
      <c r="D9" s="82"/>
      <c r="E9" s="57" t="s">
        <v>510</v>
      </c>
    </row>
    <row r="11" spans="1:5" ht="22" customHeight="1" x14ac:dyDescent="0.2">
      <c r="A11" s="88" t="s">
        <v>519</v>
      </c>
      <c r="B11" s="76"/>
      <c r="C11" s="76"/>
      <c r="D11" s="76"/>
      <c r="E11" s="76"/>
    </row>
    <row r="12" spans="1:5" ht="16" customHeight="1" x14ac:dyDescent="0.2">
      <c r="A12" s="6" t="s">
        <v>503</v>
      </c>
      <c r="B12" s="6" t="s">
        <v>275</v>
      </c>
      <c r="C12" s="6" t="s">
        <v>504</v>
      </c>
    </row>
    <row r="13" spans="1:5" ht="30" customHeight="1" x14ac:dyDescent="0.2">
      <c r="A13" s="2" t="s">
        <v>520</v>
      </c>
      <c r="B13" s="100" t="s">
        <v>521</v>
      </c>
      <c r="C13" s="82"/>
      <c r="D13" s="82"/>
      <c r="E13" s="57" t="s">
        <v>522</v>
      </c>
    </row>
    <row r="14" spans="1:5" ht="30" customHeight="1" x14ac:dyDescent="0.2">
      <c r="A14" s="4" t="s">
        <v>523</v>
      </c>
      <c r="B14" s="99" t="s">
        <v>524</v>
      </c>
      <c r="C14" s="82"/>
      <c r="D14" s="82"/>
      <c r="E14" s="58" t="s">
        <v>525</v>
      </c>
    </row>
    <row r="15" spans="1:5" ht="30" customHeight="1" x14ac:dyDescent="0.2">
      <c r="A15" s="2" t="s">
        <v>526</v>
      </c>
      <c r="B15" s="100" t="s">
        <v>527</v>
      </c>
      <c r="C15" s="82"/>
      <c r="D15" s="82"/>
      <c r="E15" s="57" t="s">
        <v>528</v>
      </c>
    </row>
    <row r="16" spans="1:5" ht="30" customHeight="1" x14ac:dyDescent="0.2">
      <c r="A16" s="4" t="s">
        <v>529</v>
      </c>
      <c r="B16" s="99" t="s">
        <v>530</v>
      </c>
      <c r="C16" s="82"/>
      <c r="D16" s="82"/>
      <c r="E16" s="58" t="s">
        <v>531</v>
      </c>
    </row>
    <row r="17" spans="1:5" ht="30" customHeight="1" x14ac:dyDescent="0.2">
      <c r="A17" s="2" t="s">
        <v>532</v>
      </c>
      <c r="B17" s="100" t="s">
        <v>533</v>
      </c>
      <c r="C17" s="82"/>
      <c r="D17" s="82"/>
      <c r="E17" s="57" t="s">
        <v>534</v>
      </c>
    </row>
    <row r="19" spans="1:5" ht="22" customHeight="1" x14ac:dyDescent="0.2">
      <c r="A19" s="89" t="s">
        <v>535</v>
      </c>
      <c r="B19" s="76"/>
      <c r="C19" s="76"/>
      <c r="D19" s="76"/>
      <c r="E19" s="76"/>
    </row>
    <row r="20" spans="1:5" ht="16" customHeight="1" x14ac:dyDescent="0.2">
      <c r="A20" s="6" t="s">
        <v>503</v>
      </c>
      <c r="B20" s="6" t="s">
        <v>275</v>
      </c>
      <c r="C20" s="6" t="s">
        <v>504</v>
      </c>
    </row>
    <row r="21" spans="1:5" ht="30" customHeight="1" x14ac:dyDescent="0.2">
      <c r="A21" s="2" t="s">
        <v>536</v>
      </c>
      <c r="B21" s="100" t="s">
        <v>537</v>
      </c>
      <c r="C21" s="82"/>
      <c r="D21" s="82"/>
      <c r="E21" s="57" t="s">
        <v>538</v>
      </c>
    </row>
    <row r="22" spans="1:5" ht="30" customHeight="1" x14ac:dyDescent="0.2">
      <c r="A22" s="4" t="s">
        <v>539</v>
      </c>
      <c r="B22" s="99" t="s">
        <v>540</v>
      </c>
      <c r="C22" s="82"/>
      <c r="D22" s="82"/>
      <c r="E22" s="58" t="s">
        <v>541</v>
      </c>
    </row>
    <row r="23" spans="1:5" ht="30" customHeight="1" x14ac:dyDescent="0.2">
      <c r="A23" s="2" t="s">
        <v>542</v>
      </c>
      <c r="B23" s="100" t="s">
        <v>543</v>
      </c>
      <c r="C23" s="82"/>
      <c r="D23" s="82"/>
      <c r="E23" s="57" t="s">
        <v>544</v>
      </c>
    </row>
    <row r="24" spans="1:5" ht="30" customHeight="1" x14ac:dyDescent="0.2">
      <c r="A24" s="4" t="s">
        <v>545</v>
      </c>
      <c r="B24" s="99" t="s">
        <v>546</v>
      </c>
      <c r="C24" s="82"/>
      <c r="D24" s="82"/>
      <c r="E24" s="58" t="s">
        <v>547</v>
      </c>
    </row>
    <row r="27" spans="1:5" ht="22" customHeight="1" x14ac:dyDescent="0.2">
      <c r="A27" s="78" t="s">
        <v>548</v>
      </c>
      <c r="B27" s="76"/>
      <c r="C27" s="76"/>
      <c r="D27" s="76"/>
      <c r="E27" s="76"/>
    </row>
    <row r="28" spans="1:5" ht="16" customHeight="1" x14ac:dyDescent="0.2">
      <c r="A28" s="6" t="s">
        <v>549</v>
      </c>
      <c r="B28" s="6" t="s">
        <v>550</v>
      </c>
      <c r="C28" s="6" t="s">
        <v>551</v>
      </c>
    </row>
    <row r="29" spans="1:5" ht="20" customHeight="1" x14ac:dyDescent="0.2">
      <c r="A29" s="2" t="s">
        <v>552</v>
      </c>
      <c r="B29" s="11" t="s">
        <v>553</v>
      </c>
      <c r="C29" s="101" t="s">
        <v>554</v>
      </c>
      <c r="D29" s="82"/>
      <c r="E29" s="82"/>
    </row>
    <row r="30" spans="1:5" ht="20" customHeight="1" x14ac:dyDescent="0.2">
      <c r="A30" s="4" t="s">
        <v>555</v>
      </c>
      <c r="B30" s="16" t="s">
        <v>556</v>
      </c>
      <c r="C30" s="81" t="s">
        <v>557</v>
      </c>
      <c r="D30" s="82"/>
      <c r="E30" s="82"/>
    </row>
    <row r="31" spans="1:5" ht="20" customHeight="1" x14ac:dyDescent="0.2">
      <c r="A31" s="2" t="s">
        <v>558</v>
      </c>
      <c r="B31" s="11" t="s">
        <v>559</v>
      </c>
      <c r="C31" s="101" t="s">
        <v>560</v>
      </c>
      <c r="D31" s="82"/>
      <c r="E31" s="82"/>
    </row>
    <row r="32" spans="1:5" ht="20" customHeight="1" x14ac:dyDescent="0.2">
      <c r="A32" s="4" t="s">
        <v>561</v>
      </c>
      <c r="B32" s="16" t="s">
        <v>562</v>
      </c>
      <c r="C32" s="81" t="s">
        <v>563</v>
      </c>
      <c r="D32" s="82"/>
      <c r="E32" s="82"/>
    </row>
    <row r="33" spans="1:5" ht="20" customHeight="1" x14ac:dyDescent="0.2">
      <c r="A33" s="2" t="s">
        <v>564</v>
      </c>
      <c r="B33" s="11" t="s">
        <v>565</v>
      </c>
      <c r="C33" s="101" t="s">
        <v>566</v>
      </c>
      <c r="D33" s="82"/>
      <c r="E33" s="82"/>
    </row>
    <row r="34" spans="1:5" ht="20" customHeight="1" x14ac:dyDescent="0.2">
      <c r="A34" s="4" t="s">
        <v>567</v>
      </c>
      <c r="B34" s="16" t="s">
        <v>568</v>
      </c>
      <c r="C34" s="81" t="s">
        <v>569</v>
      </c>
      <c r="D34" s="82"/>
      <c r="E34" s="82"/>
    </row>
    <row r="35" spans="1:5" ht="20" customHeight="1" x14ac:dyDescent="0.2">
      <c r="A35" s="2" t="s">
        <v>570</v>
      </c>
      <c r="B35" s="11" t="s">
        <v>571</v>
      </c>
      <c r="C35" s="101" t="s">
        <v>572</v>
      </c>
      <c r="D35" s="82"/>
      <c r="E35" s="82"/>
    </row>
    <row r="36" spans="1:5" ht="20" customHeight="1" x14ac:dyDescent="0.2">
      <c r="A36" s="4" t="s">
        <v>573</v>
      </c>
      <c r="B36" s="16" t="s">
        <v>574</v>
      </c>
      <c r="C36" s="81" t="s">
        <v>575</v>
      </c>
      <c r="D36" s="82"/>
      <c r="E36" s="82"/>
    </row>
  </sheetData>
  <mergeCells count="27">
    <mergeCell ref="C35:E35"/>
    <mergeCell ref="A1:E1"/>
    <mergeCell ref="C36:E36"/>
    <mergeCell ref="B9:D9"/>
    <mergeCell ref="B15:D15"/>
    <mergeCell ref="B6:D6"/>
    <mergeCell ref="B24:D24"/>
    <mergeCell ref="A27:E27"/>
    <mergeCell ref="C32:E32"/>
    <mergeCell ref="A3:E3"/>
    <mergeCell ref="B5:D5"/>
    <mergeCell ref="C30:E30"/>
    <mergeCell ref="B7:D7"/>
    <mergeCell ref="C34:E34"/>
    <mergeCell ref="B16:D16"/>
    <mergeCell ref="C33:E33"/>
    <mergeCell ref="B22:D22"/>
    <mergeCell ref="B14:D14"/>
    <mergeCell ref="B23:D23"/>
    <mergeCell ref="C31:E31"/>
    <mergeCell ref="B8:D8"/>
    <mergeCell ref="A11:E11"/>
    <mergeCell ref="B17:D17"/>
    <mergeCell ref="B13:D13"/>
    <mergeCell ref="A19:E19"/>
    <mergeCell ref="B21:D21"/>
    <mergeCell ref="C29:E29"/>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7"/>
  <sheetViews>
    <sheetView showGridLines="0" topLeftCell="A23" workbookViewId="0">
      <selection activeCell="G13" sqref="G13"/>
    </sheetView>
  </sheetViews>
  <sheetFormatPr baseColWidth="10" defaultColWidth="8.83203125" defaultRowHeight="15" x14ac:dyDescent="0.2"/>
  <cols>
    <col min="1" max="1" width="20" customWidth="1"/>
    <col min="2" max="2" width="30" customWidth="1"/>
    <col min="3" max="3" width="18" customWidth="1"/>
    <col min="4" max="4" width="22" customWidth="1"/>
    <col min="5" max="5" width="18" customWidth="1"/>
  </cols>
  <sheetData>
    <row r="1" spans="1:5" ht="35" customHeight="1" x14ac:dyDescent="0.2">
      <c r="A1" s="75" t="s">
        <v>576</v>
      </c>
      <c r="B1" s="76"/>
      <c r="C1" s="76"/>
      <c r="D1" s="76"/>
      <c r="E1" s="76"/>
    </row>
    <row r="3" spans="1:5" ht="22" customHeight="1" x14ac:dyDescent="0.2">
      <c r="A3" s="103" t="s">
        <v>577</v>
      </c>
      <c r="B3" s="76"/>
      <c r="C3" s="76"/>
      <c r="D3" s="76"/>
      <c r="E3" s="76"/>
    </row>
    <row r="4" spans="1:5" ht="16" customHeight="1" x14ac:dyDescent="0.2">
      <c r="A4" s="6" t="s">
        <v>578</v>
      </c>
      <c r="B4" s="6" t="s">
        <v>579</v>
      </c>
      <c r="C4" s="6" t="s">
        <v>580</v>
      </c>
      <c r="D4" s="6" t="s">
        <v>581</v>
      </c>
    </row>
    <row r="5" spans="1:5" ht="28" customHeight="1" x14ac:dyDescent="0.2">
      <c r="A5" s="59" t="s">
        <v>582</v>
      </c>
      <c r="B5" s="60" t="s">
        <v>583</v>
      </c>
      <c r="C5" s="22" t="s">
        <v>584</v>
      </c>
      <c r="D5" s="22" t="s">
        <v>585</v>
      </c>
    </row>
    <row r="6" spans="1:5" ht="28" customHeight="1" x14ac:dyDescent="0.2">
      <c r="A6" s="61" t="s">
        <v>586</v>
      </c>
      <c r="B6" s="39" t="s">
        <v>587</v>
      </c>
      <c r="C6" s="24" t="s">
        <v>588</v>
      </c>
      <c r="D6" s="24" t="s">
        <v>589</v>
      </c>
    </row>
    <row r="7" spans="1:5" ht="28" customHeight="1" x14ac:dyDescent="0.2">
      <c r="A7" s="59" t="s">
        <v>590</v>
      </c>
      <c r="B7" s="62" t="s">
        <v>591</v>
      </c>
      <c r="C7" s="22" t="s">
        <v>592</v>
      </c>
      <c r="D7" s="22" t="s">
        <v>593</v>
      </c>
    </row>
    <row r="8" spans="1:5" ht="28" customHeight="1" x14ac:dyDescent="0.2">
      <c r="A8" s="61" t="s">
        <v>594</v>
      </c>
      <c r="B8" s="68" t="s">
        <v>595</v>
      </c>
      <c r="C8" s="24" t="s">
        <v>596</v>
      </c>
      <c r="D8" s="24" t="s">
        <v>597</v>
      </c>
    </row>
    <row r="9" spans="1:5" ht="28" customHeight="1" x14ac:dyDescent="0.2">
      <c r="A9" s="59" t="s">
        <v>598</v>
      </c>
      <c r="B9" s="67" t="s">
        <v>599</v>
      </c>
      <c r="C9" s="22" t="s">
        <v>596</v>
      </c>
      <c r="D9" s="22" t="s">
        <v>600</v>
      </c>
    </row>
    <row r="10" spans="1:5" ht="28" customHeight="1" x14ac:dyDescent="0.2">
      <c r="A10" s="61" t="s">
        <v>601</v>
      </c>
      <c r="B10" s="68" t="s">
        <v>602</v>
      </c>
      <c r="C10" s="24" t="s">
        <v>596</v>
      </c>
      <c r="D10" s="24" t="s">
        <v>603</v>
      </c>
    </row>
    <row r="11" spans="1:5" ht="28" customHeight="1" x14ac:dyDescent="0.2">
      <c r="A11" s="59" t="s">
        <v>604</v>
      </c>
      <c r="B11" s="67" t="s">
        <v>605</v>
      </c>
      <c r="C11" s="22" t="s">
        <v>596</v>
      </c>
      <c r="D11" s="22" t="s">
        <v>606</v>
      </c>
    </row>
    <row r="12" spans="1:5" ht="28" customHeight="1" x14ac:dyDescent="0.2">
      <c r="A12" s="61" t="s">
        <v>607</v>
      </c>
      <c r="B12" s="39" t="s">
        <v>608</v>
      </c>
      <c r="C12" s="24" t="s">
        <v>596</v>
      </c>
      <c r="D12" s="24" t="s">
        <v>609</v>
      </c>
    </row>
    <row r="13" spans="1:5" ht="28" customHeight="1" x14ac:dyDescent="0.2">
      <c r="A13" s="59" t="s">
        <v>610</v>
      </c>
      <c r="B13" s="63" t="s">
        <v>611</v>
      </c>
      <c r="C13" s="22" t="s">
        <v>612</v>
      </c>
      <c r="D13" s="22" t="s">
        <v>613</v>
      </c>
    </row>
    <row r="14" spans="1:5" ht="28" customHeight="1" x14ac:dyDescent="0.2">
      <c r="A14" s="61" t="s">
        <v>614</v>
      </c>
      <c r="B14" s="64" t="s">
        <v>615</v>
      </c>
      <c r="C14" s="24" t="s">
        <v>616</v>
      </c>
      <c r="D14" s="24" t="s">
        <v>617</v>
      </c>
    </row>
    <row r="15" spans="1:5" ht="28" customHeight="1" x14ac:dyDescent="0.2">
      <c r="A15" s="59" t="s">
        <v>618</v>
      </c>
      <c r="B15" s="62" t="s">
        <v>619</v>
      </c>
      <c r="C15" s="22" t="s">
        <v>620</v>
      </c>
      <c r="D15" s="22" t="s">
        <v>621</v>
      </c>
    </row>
    <row r="16" spans="1:5" ht="28" customHeight="1" x14ac:dyDescent="0.2">
      <c r="A16" s="61" t="s">
        <v>622</v>
      </c>
      <c r="B16" s="38" t="s">
        <v>623</v>
      </c>
      <c r="C16" s="24" t="s">
        <v>624</v>
      </c>
      <c r="D16" s="24" t="s">
        <v>625</v>
      </c>
    </row>
    <row r="17" spans="1:5" ht="28" customHeight="1" x14ac:dyDescent="0.2">
      <c r="A17" s="59" t="s">
        <v>626</v>
      </c>
      <c r="B17" s="63" t="s">
        <v>627</v>
      </c>
      <c r="C17" s="22" t="s">
        <v>628</v>
      </c>
      <c r="D17" s="22" t="s">
        <v>629</v>
      </c>
    </row>
    <row r="18" spans="1:5" ht="28" customHeight="1" x14ac:dyDescent="0.2">
      <c r="A18" s="61" t="s">
        <v>630</v>
      </c>
      <c r="B18" s="64" t="s">
        <v>631</v>
      </c>
      <c r="C18" s="24" t="s">
        <v>632</v>
      </c>
      <c r="D18" s="24" t="s">
        <v>633</v>
      </c>
    </row>
    <row r="20" spans="1:5" ht="22" customHeight="1" x14ac:dyDescent="0.2">
      <c r="A20" s="79" t="s">
        <v>634</v>
      </c>
      <c r="B20" s="76"/>
      <c r="C20" s="76"/>
      <c r="D20" s="76"/>
      <c r="E20" s="76"/>
    </row>
    <row r="21" spans="1:5" ht="35" customHeight="1" x14ac:dyDescent="0.2">
      <c r="A21" s="2" t="s">
        <v>635</v>
      </c>
      <c r="B21" s="100" t="s">
        <v>636</v>
      </c>
      <c r="C21" s="82"/>
      <c r="D21" s="82"/>
      <c r="E21" s="82"/>
    </row>
    <row r="22" spans="1:5" ht="35" customHeight="1" x14ac:dyDescent="0.2">
      <c r="A22" s="4" t="s">
        <v>637</v>
      </c>
      <c r="B22" s="99" t="s">
        <v>638</v>
      </c>
      <c r="C22" s="82"/>
      <c r="D22" s="82"/>
      <c r="E22" s="82"/>
    </row>
    <row r="23" spans="1:5" ht="35" customHeight="1" x14ac:dyDescent="0.2">
      <c r="A23" s="2" t="s">
        <v>639</v>
      </c>
      <c r="B23" s="100" t="s">
        <v>640</v>
      </c>
      <c r="C23" s="82"/>
      <c r="D23" s="82"/>
      <c r="E23" s="82"/>
    </row>
    <row r="24" spans="1:5" ht="35" customHeight="1" x14ac:dyDescent="0.2">
      <c r="A24" s="4" t="s">
        <v>641</v>
      </c>
      <c r="B24" s="99" t="s">
        <v>642</v>
      </c>
      <c r="C24" s="82"/>
      <c r="D24" s="82"/>
      <c r="E24" s="82"/>
    </row>
    <row r="25" spans="1:5" ht="35" customHeight="1" x14ac:dyDescent="0.2">
      <c r="A25" s="2" t="s">
        <v>643</v>
      </c>
      <c r="B25" s="100" t="s">
        <v>644</v>
      </c>
      <c r="C25" s="82"/>
      <c r="D25" s="82"/>
      <c r="E25" s="82"/>
    </row>
    <row r="26" spans="1:5" ht="35" customHeight="1" x14ac:dyDescent="0.2">
      <c r="A26" s="4" t="s">
        <v>645</v>
      </c>
      <c r="B26" s="99" t="s">
        <v>646</v>
      </c>
      <c r="C26" s="82"/>
      <c r="D26" s="82"/>
      <c r="E26" s="82"/>
    </row>
    <row r="27" spans="1:5" ht="35" customHeight="1" x14ac:dyDescent="0.2">
      <c r="A27" s="2" t="s">
        <v>647</v>
      </c>
      <c r="B27" s="100" t="s">
        <v>648</v>
      </c>
      <c r="C27" s="82"/>
      <c r="D27" s="82"/>
      <c r="E27" s="82"/>
    </row>
    <row r="29" spans="1:5" ht="22" customHeight="1" x14ac:dyDescent="0.2">
      <c r="A29" s="89" t="s">
        <v>649</v>
      </c>
      <c r="B29" s="76"/>
      <c r="C29" s="76"/>
      <c r="D29" s="76"/>
      <c r="E29" s="76"/>
    </row>
    <row r="30" spans="1:5" ht="35" customHeight="1" x14ac:dyDescent="0.2">
      <c r="A30" s="2" t="s">
        <v>650</v>
      </c>
      <c r="B30" s="100" t="s">
        <v>651</v>
      </c>
      <c r="C30" s="82"/>
      <c r="D30" s="82"/>
      <c r="E30" s="82"/>
    </row>
    <row r="31" spans="1:5" ht="35" customHeight="1" x14ac:dyDescent="0.2">
      <c r="A31" s="4" t="s">
        <v>652</v>
      </c>
      <c r="B31" s="99" t="s">
        <v>653</v>
      </c>
      <c r="C31" s="82"/>
      <c r="D31" s="82"/>
      <c r="E31" s="82"/>
    </row>
    <row r="32" spans="1:5" ht="35" customHeight="1" x14ac:dyDescent="0.2">
      <c r="A32" s="2" t="s">
        <v>654</v>
      </c>
      <c r="B32" s="100" t="s">
        <v>655</v>
      </c>
      <c r="C32" s="82"/>
      <c r="D32" s="82"/>
      <c r="E32" s="82"/>
    </row>
    <row r="33" spans="1:5" ht="35" customHeight="1" x14ac:dyDescent="0.2">
      <c r="A33" s="4" t="s">
        <v>656</v>
      </c>
      <c r="B33" s="99" t="s">
        <v>657</v>
      </c>
      <c r="C33" s="82"/>
      <c r="D33" s="82"/>
      <c r="E33" s="82"/>
    </row>
    <row r="34" spans="1:5" ht="35" customHeight="1" x14ac:dyDescent="0.2">
      <c r="A34" s="2" t="s">
        <v>344</v>
      </c>
      <c r="B34" s="100" t="s">
        <v>658</v>
      </c>
      <c r="C34" s="82"/>
      <c r="D34" s="82"/>
      <c r="E34" s="82"/>
    </row>
    <row r="35" spans="1:5" ht="35" customHeight="1" x14ac:dyDescent="0.2">
      <c r="A35" s="4" t="s">
        <v>659</v>
      </c>
      <c r="B35" s="99" t="s">
        <v>660</v>
      </c>
      <c r="C35" s="82"/>
      <c r="D35" s="82"/>
      <c r="E35" s="82"/>
    </row>
    <row r="36" spans="1:5" ht="35" customHeight="1" x14ac:dyDescent="0.2">
      <c r="A36" s="2" t="s">
        <v>661</v>
      </c>
      <c r="B36" s="100" t="s">
        <v>662</v>
      </c>
      <c r="C36" s="82"/>
      <c r="D36" s="82"/>
      <c r="E36" s="82"/>
    </row>
    <row r="38" spans="1:5" ht="22" customHeight="1" x14ac:dyDescent="0.2">
      <c r="A38" s="87" t="s">
        <v>663</v>
      </c>
      <c r="B38" s="76"/>
      <c r="C38" s="76"/>
      <c r="D38" s="76"/>
      <c r="E38" s="76"/>
    </row>
    <row r="39" spans="1:5" ht="35" customHeight="1" x14ac:dyDescent="0.2">
      <c r="A39" s="2" t="s">
        <v>664</v>
      </c>
      <c r="B39" s="100" t="s">
        <v>665</v>
      </c>
      <c r="C39" s="82"/>
      <c r="D39" s="82"/>
      <c r="E39" s="82"/>
    </row>
    <row r="40" spans="1:5" ht="35" customHeight="1" x14ac:dyDescent="0.2">
      <c r="A40" s="4" t="s">
        <v>666</v>
      </c>
      <c r="B40" s="99" t="s">
        <v>667</v>
      </c>
      <c r="C40" s="82"/>
      <c r="D40" s="82"/>
      <c r="E40" s="82"/>
    </row>
    <row r="41" spans="1:5" ht="35" customHeight="1" x14ac:dyDescent="0.2">
      <c r="A41" s="2" t="s">
        <v>334</v>
      </c>
      <c r="B41" s="100" t="s">
        <v>668</v>
      </c>
      <c r="C41" s="82"/>
      <c r="D41" s="82"/>
      <c r="E41" s="82"/>
    </row>
    <row r="42" spans="1:5" ht="35" customHeight="1" x14ac:dyDescent="0.2">
      <c r="A42" s="4" t="s">
        <v>669</v>
      </c>
      <c r="B42" s="99" t="s">
        <v>670</v>
      </c>
      <c r="C42" s="82"/>
      <c r="D42" s="82"/>
      <c r="E42" s="82"/>
    </row>
    <row r="43" spans="1:5" ht="35" customHeight="1" x14ac:dyDescent="0.2">
      <c r="A43" s="2" t="s">
        <v>671</v>
      </c>
      <c r="B43" s="100" t="s">
        <v>672</v>
      </c>
      <c r="C43" s="82"/>
      <c r="D43" s="82"/>
      <c r="E43" s="82"/>
    </row>
    <row r="44" spans="1:5" ht="35" customHeight="1" x14ac:dyDescent="0.2">
      <c r="A44" s="4" t="s">
        <v>673</v>
      </c>
      <c r="B44" s="99" t="s">
        <v>674</v>
      </c>
      <c r="C44" s="82"/>
      <c r="D44" s="82"/>
      <c r="E44" s="82"/>
    </row>
    <row r="45" spans="1:5" ht="35" customHeight="1" x14ac:dyDescent="0.2">
      <c r="A45" s="2" t="s">
        <v>675</v>
      </c>
      <c r="B45" s="100" t="s">
        <v>676</v>
      </c>
      <c r="C45" s="82"/>
      <c r="D45" s="82"/>
      <c r="E45" s="82"/>
    </row>
    <row r="46" spans="1:5" ht="35" customHeight="1" x14ac:dyDescent="0.2">
      <c r="A46" s="4" t="s">
        <v>677</v>
      </c>
      <c r="B46" s="99" t="s">
        <v>678</v>
      </c>
      <c r="C46" s="82"/>
      <c r="D46" s="82"/>
      <c r="E46" s="82"/>
    </row>
    <row r="47" spans="1:5" ht="35" customHeight="1" x14ac:dyDescent="0.2">
      <c r="A47" s="2" t="s">
        <v>679</v>
      </c>
      <c r="B47" s="100" t="s">
        <v>680</v>
      </c>
      <c r="C47" s="82"/>
      <c r="D47" s="82"/>
      <c r="E47" s="82"/>
    </row>
  </sheetData>
  <mergeCells count="28">
    <mergeCell ref="B47:E47"/>
    <mergeCell ref="B46:E46"/>
    <mergeCell ref="B22:E22"/>
    <mergeCell ref="A3:E3"/>
    <mergeCell ref="B31:E31"/>
    <mergeCell ref="B27:E27"/>
    <mergeCell ref="B43:E43"/>
    <mergeCell ref="B21:E21"/>
    <mergeCell ref="B39:E39"/>
    <mergeCell ref="B42:E42"/>
    <mergeCell ref="B23:E23"/>
    <mergeCell ref="A29:E29"/>
    <mergeCell ref="A20:E20"/>
    <mergeCell ref="A38:E38"/>
    <mergeCell ref="B44:E44"/>
    <mergeCell ref="B34:E34"/>
    <mergeCell ref="A1:E1"/>
    <mergeCell ref="B24:E24"/>
    <mergeCell ref="B36:E36"/>
    <mergeCell ref="B32:E32"/>
    <mergeCell ref="B45:E45"/>
    <mergeCell ref="B26:E26"/>
    <mergeCell ref="B41:E41"/>
    <mergeCell ref="B35:E35"/>
    <mergeCell ref="B25:E25"/>
    <mergeCell ref="B40:E40"/>
    <mergeCell ref="B30:E30"/>
    <mergeCell ref="B33:E3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0"/>
  <sheetViews>
    <sheetView showGridLines="0" tabSelected="1" topLeftCell="A13" workbookViewId="0">
      <selection activeCell="D20" sqref="D20"/>
    </sheetView>
  </sheetViews>
  <sheetFormatPr baseColWidth="10" defaultColWidth="8.83203125" defaultRowHeight="15" x14ac:dyDescent="0.2"/>
  <cols>
    <col min="1" max="1" width="25" customWidth="1"/>
    <col min="2" max="2" width="100" customWidth="1"/>
    <col min="3" max="3" width="28" customWidth="1"/>
  </cols>
  <sheetData>
    <row r="1" spans="1:4" ht="35" customHeight="1" x14ac:dyDescent="0.2">
      <c r="A1" s="75" t="s">
        <v>0</v>
      </c>
      <c r="B1" s="76"/>
      <c r="C1" s="76"/>
    </row>
    <row r="3" spans="1:4" ht="22" customHeight="1" x14ac:dyDescent="0.2">
      <c r="A3" s="78" t="s">
        <v>1</v>
      </c>
      <c r="B3" s="76"/>
      <c r="C3" s="76"/>
    </row>
    <row r="4" spans="1:4" ht="16" customHeight="1" x14ac:dyDescent="0.2">
      <c r="A4" s="6" t="s">
        <v>2</v>
      </c>
      <c r="B4" s="6" t="s">
        <v>3</v>
      </c>
      <c r="C4" s="6" t="s">
        <v>4</v>
      </c>
    </row>
    <row r="5" spans="1:4" ht="258" customHeight="1" x14ac:dyDescent="0.2">
      <c r="A5" s="2" t="s">
        <v>5</v>
      </c>
      <c r="B5" s="26" t="s">
        <v>6</v>
      </c>
      <c r="C5" s="65" t="s">
        <v>7</v>
      </c>
    </row>
    <row r="7" spans="1:4" ht="22" customHeight="1" x14ac:dyDescent="0.2">
      <c r="A7" s="79" t="s">
        <v>8</v>
      </c>
      <c r="B7" s="76"/>
      <c r="C7" s="76"/>
      <c r="D7" s="77" t="s">
        <v>9</v>
      </c>
    </row>
    <row r="8" spans="1:4" ht="16" customHeight="1" x14ac:dyDescent="0.2">
      <c r="A8" s="6" t="s">
        <v>2</v>
      </c>
      <c r="B8" s="6" t="s">
        <v>3</v>
      </c>
      <c r="C8" s="6" t="s">
        <v>4</v>
      </c>
      <c r="D8" s="76"/>
    </row>
    <row r="9" spans="1:4" ht="232" customHeight="1" x14ac:dyDescent="0.2">
      <c r="A9" s="2" t="s">
        <v>10</v>
      </c>
      <c r="B9" s="26" t="s">
        <v>11</v>
      </c>
      <c r="C9" s="65" t="s">
        <v>12</v>
      </c>
      <c r="D9" s="76"/>
    </row>
    <row r="10" spans="1:4" ht="186" customHeight="1" x14ac:dyDescent="0.2">
      <c r="A10" s="4" t="s">
        <v>13</v>
      </c>
      <c r="B10" s="29" t="s">
        <v>14</v>
      </c>
      <c r="C10" s="66" t="s">
        <v>15</v>
      </c>
      <c r="D10" s="71" t="s">
        <v>9</v>
      </c>
    </row>
    <row r="11" spans="1:4" ht="239" customHeight="1" x14ac:dyDescent="0.2">
      <c r="A11" s="2" t="s">
        <v>16</v>
      </c>
      <c r="B11" s="26" t="s">
        <v>17</v>
      </c>
      <c r="C11" s="65" t="s">
        <v>18</v>
      </c>
      <c r="D11" s="71" t="s">
        <v>9</v>
      </c>
    </row>
    <row r="12" spans="1:4" ht="243" customHeight="1" x14ac:dyDescent="0.2">
      <c r="A12" s="2" t="s">
        <v>19</v>
      </c>
      <c r="B12" s="26" t="s">
        <v>20</v>
      </c>
      <c r="C12" s="65" t="s">
        <v>21</v>
      </c>
      <c r="D12" s="71" t="s">
        <v>9</v>
      </c>
    </row>
    <row r="13" spans="1:4" ht="290" customHeight="1" x14ac:dyDescent="0.2">
      <c r="A13" s="4" t="s">
        <v>22</v>
      </c>
      <c r="B13" s="29" t="s">
        <v>23</v>
      </c>
      <c r="C13" s="66" t="s">
        <v>24</v>
      </c>
      <c r="D13" s="71" t="s">
        <v>9</v>
      </c>
    </row>
    <row r="14" spans="1:4" ht="182" x14ac:dyDescent="0.2">
      <c r="A14" s="2" t="s">
        <v>25</v>
      </c>
      <c r="B14" s="26" t="s">
        <v>26</v>
      </c>
      <c r="C14" s="65" t="s">
        <v>27</v>
      </c>
    </row>
    <row r="15" spans="1:4" ht="133" customHeight="1" x14ac:dyDescent="0.2">
      <c r="A15" s="2" t="s">
        <v>681</v>
      </c>
      <c r="B15" s="26" t="s">
        <v>686</v>
      </c>
      <c r="C15" s="65" t="s">
        <v>27</v>
      </c>
    </row>
    <row r="16" spans="1:4" ht="16" customHeight="1" x14ac:dyDescent="0.2">
      <c r="A16" s="76"/>
      <c r="B16" s="76"/>
      <c r="C16" s="76"/>
    </row>
    <row r="17" spans="1:3" ht="200" customHeight="1" x14ac:dyDescent="0.2">
      <c r="A17" s="69" t="s">
        <v>28</v>
      </c>
    </row>
    <row r="18" spans="1:3" ht="217" customHeight="1" x14ac:dyDescent="0.2">
      <c r="A18" s="6" t="s">
        <v>2</v>
      </c>
      <c r="B18" s="6" t="s">
        <v>3</v>
      </c>
      <c r="C18" s="6" t="s">
        <v>4</v>
      </c>
    </row>
    <row r="19" spans="1:3" ht="182" x14ac:dyDescent="0.2">
      <c r="A19" s="2" t="s">
        <v>29</v>
      </c>
      <c r="B19" s="26" t="s">
        <v>30</v>
      </c>
      <c r="C19" s="65" t="s">
        <v>31</v>
      </c>
    </row>
    <row r="20" spans="1:3" ht="80" x14ac:dyDescent="0.2">
      <c r="A20" s="2" t="s">
        <v>683</v>
      </c>
      <c r="B20" s="26" t="s">
        <v>684</v>
      </c>
      <c r="C20" s="65"/>
    </row>
    <row r="21" spans="1:3" x14ac:dyDescent="0.2">
      <c r="A21" s="2" t="s">
        <v>682</v>
      </c>
      <c r="B21" s="26" t="s">
        <v>685</v>
      </c>
      <c r="C21" s="65" t="s">
        <v>27</v>
      </c>
    </row>
    <row r="22" spans="1:3" ht="22" customHeight="1" x14ac:dyDescent="0.2">
      <c r="A22" s="4" t="s">
        <v>32</v>
      </c>
      <c r="B22" s="29" t="s">
        <v>33</v>
      </c>
      <c r="C22" s="66" t="s">
        <v>31</v>
      </c>
    </row>
    <row r="23" spans="1:3" ht="16" customHeight="1" x14ac:dyDescent="0.2">
      <c r="A23" s="72" t="s">
        <v>34</v>
      </c>
      <c r="B23" s="73" t="s">
        <v>35</v>
      </c>
      <c r="C23" s="74" t="s">
        <v>36</v>
      </c>
    </row>
    <row r="24" spans="1:3" ht="150" customHeight="1" x14ac:dyDescent="0.2"/>
    <row r="25" spans="1:3" ht="100" customHeight="1" x14ac:dyDescent="0.2">
      <c r="A25" s="70" t="s">
        <v>37</v>
      </c>
    </row>
    <row r="26" spans="1:3" ht="137" customHeight="1" x14ac:dyDescent="0.2">
      <c r="A26" s="6" t="s">
        <v>2</v>
      </c>
      <c r="B26" s="6" t="s">
        <v>3</v>
      </c>
      <c r="C26" s="6" t="s">
        <v>4</v>
      </c>
    </row>
    <row r="27" spans="1:3" ht="39" customHeight="1" x14ac:dyDescent="0.2">
      <c r="A27" s="2" t="s">
        <v>38</v>
      </c>
      <c r="B27" s="26" t="s">
        <v>39</v>
      </c>
      <c r="C27" s="65" t="s">
        <v>40</v>
      </c>
    </row>
    <row r="28" spans="1:3" ht="130" x14ac:dyDescent="0.2">
      <c r="A28" s="4" t="s">
        <v>41</v>
      </c>
      <c r="B28" s="29" t="s">
        <v>42</v>
      </c>
      <c r="C28" s="66" t="s">
        <v>43</v>
      </c>
    </row>
    <row r="29" spans="1:3" ht="156" x14ac:dyDescent="0.2">
      <c r="A29" s="2" t="s">
        <v>44</v>
      </c>
      <c r="B29" s="26" t="s">
        <v>45</v>
      </c>
      <c r="C29" s="65" t="s">
        <v>46</v>
      </c>
    </row>
    <row r="30" spans="1:3" ht="39" x14ac:dyDescent="0.2">
      <c r="A30" s="2" t="s">
        <v>47</v>
      </c>
      <c r="B30" s="26" t="s">
        <v>48</v>
      </c>
      <c r="C30" s="65" t="s">
        <v>46</v>
      </c>
    </row>
  </sheetData>
  <mergeCells count="6">
    <mergeCell ref="A23:C23"/>
    <mergeCell ref="A1:C1"/>
    <mergeCell ref="D7:D9"/>
    <mergeCell ref="A3:C3"/>
    <mergeCell ref="A16:C16"/>
    <mergeCell ref="A7:C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Tong quan</vt:lpstr>
      <vt:lpstr>Cong nghe</vt:lpstr>
      <vt:lpstr>Stakeholders</vt:lpstr>
      <vt:lpstr>Giai doan 1 MVP</vt:lpstr>
      <vt:lpstr>Giai doan 2 Scale</vt:lpstr>
      <vt:lpstr>Giai doan 3 Ecosystem</vt:lpstr>
      <vt:lpstr>Kiem tien</vt:lpstr>
      <vt:lpstr>Go to Market</vt:lpstr>
      <vt:lpstr>Game Design</vt:lpstr>
      <vt:lpstr>Prompts 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2026-06-07T12:42:17Z</dcterms:created>
  <dcterms:modified xsi:type="dcterms:W3CDTF">2026-08-06T01:24:24Z</dcterms:modified>
</cp:coreProperties>
</file>